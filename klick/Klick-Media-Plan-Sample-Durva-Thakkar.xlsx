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Media plan" sheetId="2" state="visible" r:id="rId2"/>
    <sheet xmlns:r="http://schemas.openxmlformats.org/officeDocument/2006/relationships" name="Flowchart" sheetId="3" state="visible" r:id="rId3"/>
    <sheet xmlns:r="http://schemas.openxmlformats.org/officeDocument/2006/relationships" name="Pacing" sheetId="4" state="visible" r:id="rId4"/>
    <sheet xmlns:r="http://schemas.openxmlformats.org/officeDocument/2006/relationships" name="Reconciliation" sheetId="5" state="visible" r:id="rId5"/>
    <sheet xmlns:r="http://schemas.openxmlformats.org/officeDocument/2006/relationships" name="Naming" sheetId="6" state="visible" r:id="rId6"/>
    <sheet xmlns:r="http://schemas.openxmlformats.org/officeDocument/2006/relationships" name="Compliance Q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"/>
    <numFmt numFmtId="165" formatCode="0.0%"/>
    <numFmt numFmtId="166" formatCode="&quot;$&quot;#,##0.00"/>
  </numFmts>
  <fonts count="6">
    <font>
      <name val="Calibri"/>
      <family val="2"/>
      <color theme="1"/>
      <sz val="11"/>
      <scheme val="minor"/>
    </font>
    <font>
      <name val="Arial"/>
      <b val="1"/>
      <color rgb="00111111"/>
      <sz val="16"/>
    </font>
    <font>
      <name val="Arial"/>
      <color rgb="008A8A8A"/>
      <sz val="10"/>
    </font>
    <font>
      <name val="Arial"/>
      <b val="1"/>
      <color rgb="00111111"/>
    </font>
    <font>
      <name val="Arial"/>
      <color rgb="00111111"/>
    </font>
    <font>
      <name val="Arial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CE5FF"/>
      </patternFill>
    </fill>
    <fill>
      <patternFill patternType="solid">
        <fgColor rgb="00111111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164" fontId="3" fillId="2" borderId="0" pivotButton="0" quotePrefix="0" xfId="0"/>
    <xf numFmtId="0" fontId="5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165" fontId="0" fillId="2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66" fontId="0" fillId="2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165" fontId="3" fillId="0" borderId="0" pivotButton="0" quotePrefix="0" xfId="0"/>
    <xf numFmtId="164" fontId="3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164" fontId="0" fillId="0" borderId="0" pivotButton="0" quotePrefix="0" xfId="0"/>
    <xf numFmtId="0" fontId="0" fillId="2" borderId="0" pivotButton="0" quotePrefix="0" xfId="0"/>
    <xf numFmtId="165" fontId="0" fillId="0" borderId="0" pivotButton="0" quotePrefix="0" xfId="0"/>
    <xf numFmtId="164" fontId="0" fillId="0" borderId="1" pivotButton="0" quotePrefix="0" xfId="0"/>
    <xf numFmtId="164" fontId="0" fillId="2" borderId="1" pivotButton="0" quotePrefix="0" xfId="0"/>
    <xf numFmtId="9" fontId="0" fillId="0" borderId="1" pivotButton="0" quotePrefix="0" xfId="0"/>
    <xf numFmtId="165" fontId="0" fillId="0" borderId="1" pivotButton="0" quotePrefix="0" xfId="0"/>
    <xf numFmtId="0" fontId="0" fillId="2" borderId="1" pivotButton="0" quotePrefix="0" xfId="0"/>
  </cellXfs>
  <cellStyles count="1">
    <cellStyle name="Normal" xfId="0" builtinId="0" hidden="0"/>
  </cellStyles>
  <dxfs count="4">
    <dxf>
      <font>
        <b val="1"/>
        <color rgb="00DC2626"/>
      </font>
    </dxf>
    <dxf>
      <font>
        <color rgb="000343FB"/>
      </font>
      <fill>
        <patternFill patternType="solid">
          <fgColor rgb="000343FB"/>
        </patternFill>
      </fill>
    </dxf>
    <dxf>
      <font>
        <b val="1"/>
        <color rgb="00F97316"/>
      </font>
    </dxf>
    <dxf>
      <font>
        <b val="1"/>
        <color rgb="0015803D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10" customWidth="1" min="2" max="2"/>
  </cols>
  <sheetData>
    <row r="1">
      <c r="A1" s="1" t="inlineStr">
        <is>
          <t>Media plan workbook · sample</t>
        </is>
      </c>
    </row>
    <row r="2">
      <c r="A2" s="2" t="inlineStr">
        <is>
          <t>Made by Durva Thakkar for the Klick Media Planning team · durvathakkar.com/klick</t>
        </is>
      </c>
    </row>
    <row r="4" ht="45" customHeight="1">
      <c r="A4" s="3" t="inlineStr">
        <is>
          <t>What this is</t>
        </is>
      </c>
      <c r="B4" s="4" t="inlineStr">
        <is>
          <t>A working media plan for a sample brief: an unbranded migraine awareness campaign (US, patients + HCPs), 12 weeks, $1.2M.</t>
        </is>
      </c>
    </row>
    <row r="5" ht="45" customHeight="1">
      <c r="A5" s="3" t="inlineStr">
        <is>
          <t>Important</t>
        </is>
      </c>
      <c r="B5" s="4" t="inlineStr">
        <is>
          <t>The brief is a sample I wrote. Rates and benchmarks are planning assumptions, not vendor quotes. Swap in real quotes and the whole workbook recalculates.</t>
        </is>
      </c>
    </row>
    <row r="6" ht="45" customHeight="1">
      <c r="A6" s="3" t="inlineStr">
        <is>
          <t>How to use</t>
        </is>
      </c>
      <c r="B6" s="4" t="inlineStr">
        <is>
          <t>1) Change the budget in 'Media plan'!C4 or any channel's share in column C. 2) Enter delivered spend in 'Pacing'. 3) Enter IO and invoice amounts in 'Reconciliation'.</t>
        </is>
      </c>
    </row>
    <row r="7" ht="45" customHeight="1">
      <c r="A7" s="3" t="inlineStr">
        <is>
          <t>Tabs</t>
        </is>
      </c>
      <c r="B7" s="4" t="inlineStr">
        <is>
          <t>Media plan · Flowchart · Pacing · Reconciliation · Naming · Compliance QA</t>
        </is>
      </c>
    </row>
    <row r="8" ht="45" customHeight="1">
      <c r="A8" s="3" t="inlineStr">
        <is>
          <t>Colour key</t>
        </is>
      </c>
      <c r="B8" s="4" t="inlineStr">
        <is>
          <t>Blue cells are inputs. Everything else is a formula.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36" customWidth="1" min="2" max="2"/>
    <col width="14" customWidth="1" min="3" max="3"/>
    <col width="14" customWidth="1" min="4" max="4"/>
    <col width="10" customWidth="1" min="5" max="5"/>
    <col width="14" customWidth="1" min="6" max="6"/>
    <col width="16" customWidth="1" min="7" max="7"/>
    <col width="12" customWidth="1" min="8" max="8"/>
    <col width="30" customWidth="1" min="9" max="9"/>
  </cols>
  <sheetData>
    <row r="1">
      <c r="A1" s="1" t="inlineStr">
        <is>
          <t>Media plan · Unbranded migraine awareness (sample)</t>
        </is>
      </c>
    </row>
    <row r="2">
      <c r="A2" s="2" t="inlineStr">
        <is>
          <t>US · Jan 4 to Mar 28, 2027 · 12 weeks</t>
        </is>
      </c>
    </row>
    <row r="4">
      <c r="B4" s="3" t="inlineStr">
        <is>
          <t>Total budget</t>
        </is>
      </c>
      <c r="C4" s="5" t="n">
        <v>1200000</v>
      </c>
    </row>
    <row r="6" ht="30" customHeight="1">
      <c r="A6" s="6" t="inlineStr">
        <is>
          <t>Channel</t>
        </is>
      </c>
      <c r="B6" s="6" t="inlineStr">
        <is>
          <t>Audience</t>
        </is>
      </c>
      <c r="C6" s="6" t="inlineStr">
        <is>
          <t>Share of budget</t>
        </is>
      </c>
      <c r="D6" s="6" t="inlineStr">
        <is>
          <t>Budget</t>
        </is>
      </c>
      <c r="E6" s="6" t="inlineStr">
        <is>
          <t>Buy type</t>
        </is>
      </c>
      <c r="F6" s="6" t="inlineStr">
        <is>
          <t>Rate (assumption)</t>
        </is>
      </c>
      <c r="G6" s="6" t="inlineStr">
        <is>
          <t>Est. delivery</t>
        </is>
      </c>
      <c r="H6" s="6" t="inlineStr">
        <is>
          <t>Unit</t>
        </is>
      </c>
      <c r="I6" s="6" t="inlineStr">
        <is>
          <t>Primary KPI</t>
        </is>
      </c>
    </row>
    <row r="7">
      <c r="A7" s="7" t="inlineStr">
        <is>
          <t>Paid search (Google, Microsoft)</t>
        </is>
      </c>
      <c r="B7" s="7" t="inlineStr">
        <is>
          <t>Patients searching symptoms</t>
        </is>
      </c>
      <c r="C7" s="8" t="n">
        <v>0.22</v>
      </c>
      <c r="D7" s="9">
        <f>$C$4*C7</f>
        <v/>
      </c>
      <c r="E7" s="7" t="inlineStr">
        <is>
          <t>CPC</t>
        </is>
      </c>
      <c r="F7" s="10" t="n">
        <v>3.5</v>
      </c>
      <c r="G7" s="11">
        <f>IFERROR(D7/F7,0)</f>
        <v/>
      </c>
      <c r="H7" s="7" t="inlineStr">
        <is>
          <t>Clicks</t>
        </is>
      </c>
      <c r="I7" s="7" t="inlineStr">
        <is>
          <t>CTR, cost per qualified visit</t>
        </is>
      </c>
    </row>
    <row r="8">
      <c r="A8" s="7" t="inlineStr">
        <is>
          <t>Programmatic display (DSP, contextual health)</t>
        </is>
      </c>
      <c r="B8" s="7" t="inlineStr">
        <is>
          <t>Patients, health content readers</t>
        </is>
      </c>
      <c r="C8" s="8" t="n">
        <v>0.18</v>
      </c>
      <c r="D8" s="9">
        <f>$C$4*C8</f>
        <v/>
      </c>
      <c r="E8" s="7" t="inlineStr">
        <is>
          <t>CPM</t>
        </is>
      </c>
      <c r="F8" s="10" t="n">
        <v>9</v>
      </c>
      <c r="G8" s="11">
        <f>IFERROR(D8/F8*1000,0)</f>
        <v/>
      </c>
      <c r="H8" s="7" t="inlineStr">
        <is>
          <t>Impressions</t>
        </is>
      </c>
      <c r="I8" s="7" t="inlineStr">
        <is>
          <t>Viewability, CTR</t>
        </is>
      </c>
    </row>
    <row r="9">
      <c r="A9" s="7" t="inlineStr">
        <is>
          <t>Online video + CTV</t>
        </is>
      </c>
      <c r="B9" s="7" t="inlineStr">
        <is>
          <t>Adults 25-54, broad + contextual</t>
        </is>
      </c>
      <c r="C9" s="8" t="n">
        <v>0.2</v>
      </c>
      <c r="D9" s="9">
        <f>$C$4*C9</f>
        <v/>
      </c>
      <c r="E9" s="7" t="inlineStr">
        <is>
          <t>CPM</t>
        </is>
      </c>
      <c r="F9" s="10" t="n">
        <v>28</v>
      </c>
      <c r="G9" s="11">
        <f>IFERROR(D9/F9*1000,0)</f>
        <v/>
      </c>
      <c r="H9" s="7" t="inlineStr">
        <is>
          <t>Impressions</t>
        </is>
      </c>
      <c r="I9" s="7" t="inlineStr">
        <is>
          <t>Video completion rate</t>
        </is>
      </c>
    </row>
    <row r="10">
      <c r="A10" s="7" t="inlineStr">
        <is>
          <t>Paid social (Meta, broad + contextual)</t>
        </is>
      </c>
      <c r="B10" s="7" t="inlineStr">
        <is>
          <t>Adults 25-54, no condition targeting</t>
        </is>
      </c>
      <c r="C10" s="8" t="n">
        <v>0.14</v>
      </c>
      <c r="D10" s="9">
        <f>$C$4*C10</f>
        <v/>
      </c>
      <c r="E10" s="7" t="inlineStr">
        <is>
          <t>CPM</t>
        </is>
      </c>
      <c r="F10" s="10" t="n">
        <v>11</v>
      </c>
      <c r="G10" s="11">
        <f>IFERROR(D10/F10*1000,0)</f>
        <v/>
      </c>
      <c r="H10" s="7" t="inlineStr">
        <is>
          <t>Impressions</t>
        </is>
      </c>
      <c r="I10" s="7" t="inlineStr">
        <is>
          <t>Reach, frequency, CTR</t>
        </is>
      </c>
    </row>
    <row r="11">
      <c r="A11" s="7" t="inlineStr">
        <is>
          <t>Mobile in-app</t>
        </is>
      </c>
      <c r="B11" s="7" t="inlineStr">
        <is>
          <t>Patients on health and lifestyle apps</t>
        </is>
      </c>
      <c r="C11" s="8" t="n">
        <v>0.06</v>
      </c>
      <c r="D11" s="9">
        <f>$C$4*C11</f>
        <v/>
      </c>
      <c r="E11" s="7" t="inlineStr">
        <is>
          <t>CPM</t>
        </is>
      </c>
      <c r="F11" s="10" t="n">
        <v>7</v>
      </c>
      <c r="G11" s="11">
        <f>IFERROR(D11/F11*1000,0)</f>
        <v/>
      </c>
      <c r="H11" s="7" t="inlineStr">
        <is>
          <t>Impressions</t>
        </is>
      </c>
      <c r="I11" s="7" t="inlineStr">
        <is>
          <t>CTR, viewability</t>
        </is>
      </c>
    </row>
    <row r="12">
      <c r="A12" s="7" t="inlineStr">
        <is>
          <t>HCP endemic (Medscape, Doximity)</t>
        </is>
      </c>
      <c r="B12" s="7" t="inlineStr">
        <is>
          <t>Neurologists, primary care (NPI verified)</t>
        </is>
      </c>
      <c r="C12" s="8" t="n">
        <v>0.12</v>
      </c>
      <c r="D12" s="9">
        <f>$C$4*C12</f>
        <v/>
      </c>
      <c r="E12" s="7" t="inlineStr">
        <is>
          <t>CPM</t>
        </is>
      </c>
      <c r="F12" s="10" t="n">
        <v>60</v>
      </c>
      <c r="G12" s="11">
        <f>IFERROR(D12/F12*1000,0)</f>
        <v/>
      </c>
      <c r="H12" s="7" t="inlineStr">
        <is>
          <t>Impressions</t>
        </is>
      </c>
      <c r="I12" s="7" t="inlineStr">
        <is>
          <t>HCP reach, engagement</t>
        </is>
      </c>
    </row>
    <row r="13">
      <c r="A13" s="7" t="inlineStr">
        <is>
          <t>HCP email (endemic lists)</t>
        </is>
      </c>
      <c r="B13" s="7" t="inlineStr">
        <is>
          <t>Neurologists, primary care (NPI verified)</t>
        </is>
      </c>
      <c r="C13" s="8" t="n">
        <v>0.05</v>
      </c>
      <c r="D13" s="9">
        <f>$C$4*C13</f>
        <v/>
      </c>
      <c r="E13" s="7" t="inlineStr">
        <is>
          <t>CPM</t>
        </is>
      </c>
      <c r="F13" s="10" t="n">
        <v>250</v>
      </c>
      <c r="G13" s="11">
        <f>IFERROR(D13/F13*1000,0)</f>
        <v/>
      </c>
      <c r="H13" s="7" t="inlineStr">
        <is>
          <t>Sends</t>
        </is>
      </c>
      <c r="I13" s="7" t="inlineStr">
        <is>
          <t>Open rate, click rate</t>
        </is>
      </c>
    </row>
    <row r="14">
      <c r="A14" s="7" t="inlineStr">
        <is>
          <t>Ad serving, verification, contingency</t>
        </is>
      </c>
      <c r="B14" s="7" t="inlineStr">
        <is>
          <t>All</t>
        </is>
      </c>
      <c r="C14" s="8" t="n">
        <v>0.03</v>
      </c>
      <c r="D14" s="9">
        <f>$C$4*C14</f>
        <v/>
      </c>
      <c r="E14" s="7" t="inlineStr">
        <is>
          <t>Flat</t>
        </is>
      </c>
      <c r="F14" s="10" t="n">
        <v>0</v>
      </c>
      <c r="G14" s="11" t="n">
        <v>0</v>
      </c>
      <c r="H14" s="7" t="inlineStr">
        <is>
          <t>n/a</t>
        </is>
      </c>
      <c r="I14" s="7" t="inlineStr">
        <is>
          <t>Brand safety, IVT rate</t>
        </is>
      </c>
    </row>
    <row r="15">
      <c r="A15" s="3" t="inlineStr">
        <is>
          <t>Total</t>
        </is>
      </c>
      <c r="C15" s="12">
        <f>SUM(C7:C14)</f>
        <v/>
      </c>
      <c r="D15" s="13">
        <f>SUM(D7:D14)</f>
        <v/>
      </c>
    </row>
    <row r="16">
      <c r="A16" s="3" t="inlineStr">
        <is>
          <t>Check</t>
        </is>
      </c>
      <c r="C16">
        <f>IF(ROUND(C15,4)=1,"OK: shares add to 100%","Fix: shares add to "&amp;TEXT(C15,"0.0%"))</f>
        <v/>
      </c>
    </row>
  </sheetData>
  <conditionalFormatting sqref="C16">
    <cfRule type="expression" priority="1" dxfId="0">
      <formula>ROUND($C$15,4)&lt;&gt;1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2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11" customWidth="1" min="14" max="14"/>
    <col width="15" customWidth="1" min="15" max="15"/>
  </cols>
  <sheetData>
    <row r="1">
      <c r="A1" s="1" t="inlineStr">
        <is>
          <t>Flowchart · weekly flighting</t>
        </is>
      </c>
    </row>
    <row r="2">
      <c r="A2" s="2" t="inlineStr">
        <is>
          <t>1 = live that week. Weekly budget = channel budget ÷ live weeks.</t>
        </is>
      </c>
    </row>
    <row r="4" ht="30" customHeight="1">
      <c r="A4" s="6" t="inlineStr">
        <is>
          <t>Channel</t>
        </is>
      </c>
      <c r="B4" s="6" t="inlineStr">
        <is>
          <t>W1
Jan 4</t>
        </is>
      </c>
      <c r="C4" s="6" t="inlineStr">
        <is>
          <t>W2
Jan 11</t>
        </is>
      </c>
      <c r="D4" s="6" t="inlineStr">
        <is>
          <t>W3
Jan 18</t>
        </is>
      </c>
      <c r="E4" s="6" t="inlineStr">
        <is>
          <t>W4
Jan 25</t>
        </is>
      </c>
      <c r="F4" s="6" t="inlineStr">
        <is>
          <t>W5
Feb 1</t>
        </is>
      </c>
      <c r="G4" s="6" t="inlineStr">
        <is>
          <t>W6
Feb 8</t>
        </is>
      </c>
      <c r="H4" s="6" t="inlineStr">
        <is>
          <t>W7
Feb 15</t>
        </is>
      </c>
      <c r="I4" s="6" t="inlineStr">
        <is>
          <t>W8
Feb 22</t>
        </is>
      </c>
      <c r="J4" s="6" t="inlineStr">
        <is>
          <t>W9
Mar 1</t>
        </is>
      </c>
      <c r="K4" s="6" t="inlineStr">
        <is>
          <t>W10
Mar 8</t>
        </is>
      </c>
      <c r="L4" s="6" t="inlineStr">
        <is>
          <t>W11
Mar 15</t>
        </is>
      </c>
      <c r="M4" s="6" t="inlineStr">
        <is>
          <t>W12
Mar 22</t>
        </is>
      </c>
      <c r="N4" s="6" t="inlineStr">
        <is>
          <t>Live weeks</t>
        </is>
      </c>
      <c r="O4" s="6" t="inlineStr">
        <is>
          <t>Weekly budget</t>
        </is>
      </c>
    </row>
    <row r="5">
      <c r="A5" s="14" t="inlineStr">
        <is>
          <t>Paid search (Google, Microsoft)</t>
        </is>
      </c>
      <c r="B5" s="15" t="n">
        <v>1</v>
      </c>
      <c r="C5" s="15" t="n">
        <v>1</v>
      </c>
      <c r="D5" s="15" t="n">
        <v>1</v>
      </c>
      <c r="E5" s="15" t="n">
        <v>1</v>
      </c>
      <c r="F5" s="15" t="n">
        <v>1</v>
      </c>
      <c r="G5" s="15" t="n">
        <v>1</v>
      </c>
      <c r="H5" s="15" t="n">
        <v>1</v>
      </c>
      <c r="I5" s="15" t="n">
        <v>1</v>
      </c>
      <c r="J5" s="15" t="n">
        <v>1</v>
      </c>
      <c r="K5" s="15" t="n">
        <v>1</v>
      </c>
      <c r="L5" s="15" t="n">
        <v>1</v>
      </c>
      <c r="M5" s="15" t="n">
        <v>1</v>
      </c>
      <c r="N5">
        <f>SUM(B5:M5)</f>
        <v/>
      </c>
      <c r="O5" s="16">
        <f>IFERROR('Media plan'!D7/N5,0)</f>
        <v/>
      </c>
    </row>
    <row r="6">
      <c r="A6" s="14" t="inlineStr">
        <is>
          <t>Programmatic display (DSP, contextual health)</t>
        </is>
      </c>
      <c r="B6" s="15" t="n">
        <v>1</v>
      </c>
      <c r="C6" s="15" t="n">
        <v>1</v>
      </c>
      <c r="D6" s="15" t="n">
        <v>1</v>
      </c>
      <c r="E6" s="15" t="n">
        <v>1</v>
      </c>
      <c r="F6" s="15" t="n">
        <v>1</v>
      </c>
      <c r="G6" s="15" t="n">
        <v>1</v>
      </c>
      <c r="H6" s="15" t="n">
        <v>1</v>
      </c>
      <c r="I6" s="15" t="n">
        <v>1</v>
      </c>
      <c r="J6" s="15" t="n">
        <v>1</v>
      </c>
      <c r="K6" s="15" t="n">
        <v>1</v>
      </c>
      <c r="L6" s="15" t="n">
        <v>1</v>
      </c>
      <c r="M6" s="15" t="n">
        <v>1</v>
      </c>
      <c r="N6">
        <f>SUM(B6:M6)</f>
        <v/>
      </c>
      <c r="O6" s="16">
        <f>IFERROR('Media plan'!D8/N6,0)</f>
        <v/>
      </c>
    </row>
    <row r="7">
      <c r="A7" s="14" t="inlineStr">
        <is>
          <t>Online video + CTV</t>
        </is>
      </c>
      <c r="B7" s="15" t="n">
        <v>1</v>
      </c>
      <c r="C7" s="15" t="n">
        <v>1</v>
      </c>
      <c r="D7" s="15" t="n">
        <v>1</v>
      </c>
      <c r="E7" s="15" t="n">
        <v>1</v>
      </c>
      <c r="F7" s="15" t="n">
        <v>0</v>
      </c>
      <c r="G7" s="15" t="n">
        <v>0</v>
      </c>
      <c r="H7" s="15" t="n">
        <v>1</v>
      </c>
      <c r="I7" s="15" t="n">
        <v>1</v>
      </c>
      <c r="J7" s="15" t="n">
        <v>1</v>
      </c>
      <c r="K7" s="15" t="n">
        <v>1</v>
      </c>
      <c r="L7" s="15" t="n">
        <v>0</v>
      </c>
      <c r="M7" s="15" t="n">
        <v>0</v>
      </c>
      <c r="N7">
        <f>SUM(B7:M7)</f>
        <v/>
      </c>
      <c r="O7" s="16">
        <f>IFERROR('Media plan'!D9/N7,0)</f>
        <v/>
      </c>
    </row>
    <row r="8">
      <c r="A8" s="14" t="inlineStr">
        <is>
          <t>Paid social (Meta, broad + contextual)</t>
        </is>
      </c>
      <c r="B8" s="15" t="n">
        <v>1</v>
      </c>
      <c r="C8" s="15" t="n">
        <v>1</v>
      </c>
      <c r="D8" s="15" t="n">
        <v>1</v>
      </c>
      <c r="E8" s="15" t="n">
        <v>1</v>
      </c>
      <c r="F8" s="15" t="n">
        <v>1</v>
      </c>
      <c r="G8" s="15" t="n">
        <v>1</v>
      </c>
      <c r="H8" s="15" t="n">
        <v>1</v>
      </c>
      <c r="I8" s="15" t="n">
        <v>1</v>
      </c>
      <c r="J8" s="15" t="n">
        <v>1</v>
      </c>
      <c r="K8" s="15" t="n">
        <v>1</v>
      </c>
      <c r="L8" s="15" t="n">
        <v>1</v>
      </c>
      <c r="M8" s="15" t="n">
        <v>1</v>
      </c>
      <c r="N8">
        <f>SUM(B8:M8)</f>
        <v/>
      </c>
      <c r="O8" s="16">
        <f>IFERROR('Media plan'!D10/N8,0)</f>
        <v/>
      </c>
    </row>
    <row r="9">
      <c r="A9" s="14" t="inlineStr">
        <is>
          <t>Mobile in-app</t>
        </is>
      </c>
      <c r="B9" s="15" t="n">
        <v>0</v>
      </c>
      <c r="C9" s="15" t="n">
        <v>0</v>
      </c>
      <c r="D9" s="15" t="n">
        <v>1</v>
      </c>
      <c r="E9" s="15" t="n">
        <v>1</v>
      </c>
      <c r="F9" s="15" t="n">
        <v>1</v>
      </c>
      <c r="G9" s="15" t="n">
        <v>1</v>
      </c>
      <c r="H9" s="15" t="n">
        <v>1</v>
      </c>
      <c r="I9" s="15" t="n">
        <v>1</v>
      </c>
      <c r="J9" s="15" t="n">
        <v>1</v>
      </c>
      <c r="K9" s="15" t="n">
        <v>1</v>
      </c>
      <c r="L9" s="15" t="n">
        <v>0</v>
      </c>
      <c r="M9" s="15" t="n">
        <v>0</v>
      </c>
      <c r="N9">
        <f>SUM(B9:M9)</f>
        <v/>
      </c>
      <c r="O9" s="16">
        <f>IFERROR('Media plan'!D11/N9,0)</f>
        <v/>
      </c>
    </row>
    <row r="10">
      <c r="A10" s="14" t="inlineStr">
        <is>
          <t>HCP endemic (Medscape, Doximity)</t>
        </is>
      </c>
      <c r="B10" s="15" t="n">
        <v>1</v>
      </c>
      <c r="C10" s="15" t="n">
        <v>1</v>
      </c>
      <c r="D10" s="15" t="n">
        <v>1</v>
      </c>
      <c r="E10" s="15" t="n">
        <v>1</v>
      </c>
      <c r="F10" s="15" t="n">
        <v>1</v>
      </c>
      <c r="G10" s="15" t="n">
        <v>1</v>
      </c>
      <c r="H10" s="15" t="n">
        <v>1</v>
      </c>
      <c r="I10" s="15" t="n">
        <v>1</v>
      </c>
      <c r="J10" s="15" t="n">
        <v>1</v>
      </c>
      <c r="K10" s="15" t="n">
        <v>1</v>
      </c>
      <c r="L10" s="15" t="n">
        <v>1</v>
      </c>
      <c r="M10" s="15" t="n">
        <v>1</v>
      </c>
      <c r="N10">
        <f>SUM(B10:M10)</f>
        <v/>
      </c>
      <c r="O10" s="16">
        <f>IFERROR('Media plan'!D12/N10,0)</f>
        <v/>
      </c>
    </row>
    <row r="11">
      <c r="A11" s="14" t="inlineStr">
        <is>
          <t>HCP email (endemic lists)</t>
        </is>
      </c>
      <c r="B11" s="15" t="n">
        <v>0</v>
      </c>
      <c r="C11" s="15" t="n">
        <v>1</v>
      </c>
      <c r="D11" s="15" t="n">
        <v>0</v>
      </c>
      <c r="E11" s="15" t="n">
        <v>0</v>
      </c>
      <c r="F11" s="15" t="n">
        <v>1</v>
      </c>
      <c r="G11" s="15" t="n">
        <v>0</v>
      </c>
      <c r="H11" s="15" t="n">
        <v>0</v>
      </c>
      <c r="I11" s="15" t="n">
        <v>1</v>
      </c>
      <c r="J11" s="15" t="n">
        <v>0</v>
      </c>
      <c r="K11" s="15" t="n">
        <v>0</v>
      </c>
      <c r="L11" s="15" t="n">
        <v>1</v>
      </c>
      <c r="M11" s="15" t="n">
        <v>0</v>
      </c>
      <c r="N11">
        <f>SUM(B11:M11)</f>
        <v/>
      </c>
      <c r="O11" s="16">
        <f>IFERROR('Media plan'!D13/N11,0)</f>
        <v/>
      </c>
    </row>
    <row r="12">
      <c r="A12" s="14" t="inlineStr">
        <is>
          <t>Ad serving, verification, contingency</t>
        </is>
      </c>
      <c r="B12" s="15" t="n">
        <v>1</v>
      </c>
      <c r="C12" s="15" t="n">
        <v>1</v>
      </c>
      <c r="D12" s="15" t="n">
        <v>1</v>
      </c>
      <c r="E12" s="15" t="n">
        <v>1</v>
      </c>
      <c r="F12" s="15" t="n">
        <v>1</v>
      </c>
      <c r="G12" s="15" t="n">
        <v>1</v>
      </c>
      <c r="H12" s="15" t="n">
        <v>1</v>
      </c>
      <c r="I12" s="15" t="n">
        <v>1</v>
      </c>
      <c r="J12" s="15" t="n">
        <v>1</v>
      </c>
      <c r="K12" s="15" t="n">
        <v>1</v>
      </c>
      <c r="L12" s="15" t="n">
        <v>1</v>
      </c>
      <c r="M12" s="15" t="n">
        <v>1</v>
      </c>
      <c r="N12">
        <f>SUM(B12:M12)</f>
        <v/>
      </c>
      <c r="O12" s="16">
        <f>IFERROR('Media plan'!D14/N12,0)</f>
        <v/>
      </c>
    </row>
  </sheetData>
  <conditionalFormatting sqref="B5:M12">
    <cfRule type="cellIs" priority="1" operator="equal" dxfId="1">
      <formula>1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6" customWidth="1" min="3" max="3"/>
    <col width="18" customWidth="1" min="4" max="4"/>
    <col width="9" customWidth="1" min="5" max="5"/>
    <col width="26" customWidth="1" min="6" max="6"/>
    <col width="30" customWidth="1" min="7" max="7"/>
  </cols>
  <sheetData>
    <row r="1">
      <c r="A1" s="1" t="inlineStr">
        <is>
          <t>Pacing · are we spending on plan?</t>
        </is>
      </c>
    </row>
    <row r="2">
      <c r="A2" s="2" t="inlineStr">
        <is>
          <t>Pace = delivered spend ÷ (budget × share of flight elapsed). 90% to 110% is on pace.</t>
        </is>
      </c>
    </row>
    <row r="4">
      <c r="B4" s="3" t="inlineStr">
        <is>
          <t>Flight days</t>
        </is>
      </c>
      <c r="C4" t="n">
        <v>84</v>
      </c>
    </row>
    <row r="5">
      <c r="B5" s="3" t="inlineStr">
        <is>
          <t>Days elapsed</t>
        </is>
      </c>
      <c r="C5" s="17" t="n">
        <v>42</v>
      </c>
    </row>
    <row r="6">
      <c r="B6" s="3" t="inlineStr">
        <is>
          <t>Share elapsed</t>
        </is>
      </c>
      <c r="C6" s="18">
        <f>C5/C4</f>
        <v/>
      </c>
    </row>
    <row r="8" ht="30" customHeight="1">
      <c r="A8" s="6" t="inlineStr">
        <is>
          <t>Channel</t>
        </is>
      </c>
      <c r="B8" s="6" t="inlineStr">
        <is>
          <t>Budget</t>
        </is>
      </c>
      <c r="C8" s="6" t="inlineStr">
        <is>
          <t>Expected to date</t>
        </is>
      </c>
      <c r="D8" s="6" t="inlineStr">
        <is>
          <t>Delivered to date</t>
        </is>
      </c>
      <c r="E8" s="6" t="inlineStr">
        <is>
          <t>Pace</t>
        </is>
      </c>
      <c r="F8" s="6" t="inlineStr">
        <is>
          <t>Status</t>
        </is>
      </c>
      <c r="G8" s="6" t="inlineStr">
        <is>
          <t>Note</t>
        </is>
      </c>
    </row>
    <row r="9">
      <c r="A9" s="14" t="inlineStr">
        <is>
          <t>Paid search (Google, Microsoft)</t>
        </is>
      </c>
      <c r="B9" s="19">
        <f>'Media plan'!D7</f>
        <v/>
      </c>
      <c r="C9" s="19">
        <f>B9*$C$6</f>
        <v/>
      </c>
      <c r="D9" s="20">
        <f>ROUND(B9*0.49,0)</f>
        <v/>
      </c>
      <c r="E9" s="21">
        <f>IFERROR(D9/C9,0)</f>
        <v/>
      </c>
      <c r="F9" s="14">
        <f>IF(E9&gt;1.1,"Over: slow down",IF(E9&lt;0.9,"Under: push or reallocate","On pace"))</f>
        <v/>
      </c>
      <c r="G9" s="14" t="n"/>
    </row>
    <row r="10">
      <c r="A10" s="14" t="inlineStr">
        <is>
          <t>Programmatic display (DSP, contextual health)</t>
        </is>
      </c>
      <c r="B10" s="19">
        <f>'Media plan'!D8</f>
        <v/>
      </c>
      <c r="C10" s="19">
        <f>B10*$C$6</f>
        <v/>
      </c>
      <c r="D10" s="20">
        <f>ROUND(B10*0.41,0)</f>
        <v/>
      </c>
      <c r="E10" s="21">
        <f>IFERROR(D10/C10,0)</f>
        <v/>
      </c>
      <c r="F10" s="14">
        <f>IF(E10&gt;1.1,"Over: slow down",IF(E10&lt;0.9,"Under: push or reallocate","On pace"))</f>
        <v/>
      </c>
      <c r="G10" s="14" t="n"/>
    </row>
    <row r="11">
      <c r="A11" s="14" t="inlineStr">
        <is>
          <t>Online video + CTV</t>
        </is>
      </c>
      <c r="B11" s="19">
        <f>'Media plan'!D9</f>
        <v/>
      </c>
      <c r="C11" s="19">
        <f>B11*$C$6</f>
        <v/>
      </c>
      <c r="D11" s="20">
        <f>ROUND(B11*0.55,0)</f>
        <v/>
      </c>
      <c r="E11" s="21">
        <f>IFERROR(D11/C11,0)</f>
        <v/>
      </c>
      <c r="F11" s="14">
        <f>IF(E11&gt;1.1,"Over: slow down",IF(E11&lt;0.9,"Under: push or reallocate","On pace"))</f>
        <v/>
      </c>
      <c r="G11" s="14" t="n"/>
    </row>
    <row r="12">
      <c r="A12" s="14" t="inlineStr">
        <is>
          <t>Paid social (Meta, broad + contextual)</t>
        </is>
      </c>
      <c r="B12" s="19">
        <f>'Media plan'!D10</f>
        <v/>
      </c>
      <c r="C12" s="19">
        <f>B12*$C$6</f>
        <v/>
      </c>
      <c r="D12" s="20">
        <f>ROUND(B12*0.5,0)</f>
        <v/>
      </c>
      <c r="E12" s="21">
        <f>IFERROR(D12/C12,0)</f>
        <v/>
      </c>
      <c r="F12" s="14">
        <f>IF(E12&gt;1.1,"Over: slow down",IF(E12&lt;0.9,"Under: push or reallocate","On pace"))</f>
        <v/>
      </c>
      <c r="G12" s="14" t="n"/>
    </row>
    <row r="13">
      <c r="A13" s="14" t="inlineStr">
        <is>
          <t>Mobile in-app</t>
        </is>
      </c>
      <c r="B13" s="19">
        <f>'Media plan'!D11</f>
        <v/>
      </c>
      <c r="C13" s="19">
        <f>B13*$C$6</f>
        <v/>
      </c>
      <c r="D13" s="20">
        <f>ROUND(B13*0.3,0)</f>
        <v/>
      </c>
      <c r="E13" s="21">
        <f>IFERROR(D13/C13,0)</f>
        <v/>
      </c>
      <c r="F13" s="14">
        <f>IF(E13&gt;1.1,"Over: slow down",IF(E13&lt;0.9,"Under: push or reallocate","On pace"))</f>
        <v/>
      </c>
      <c r="G13" s="14" t="n"/>
    </row>
    <row r="14">
      <c r="A14" s="14" t="inlineStr">
        <is>
          <t>HCP endemic (Medscape, Doximity)</t>
        </is>
      </c>
      <c r="B14" s="19">
        <f>'Media plan'!D12</f>
        <v/>
      </c>
      <c r="C14" s="19">
        <f>B14*$C$6</f>
        <v/>
      </c>
      <c r="D14" s="20">
        <f>ROUND(B14*0.47,0)</f>
        <v/>
      </c>
      <c r="E14" s="21">
        <f>IFERROR(D14/C14,0)</f>
        <v/>
      </c>
      <c r="F14" s="14">
        <f>IF(E14&gt;1.1,"Over: slow down",IF(E14&lt;0.9,"Under: push or reallocate","On pace"))</f>
        <v/>
      </c>
      <c r="G14" s="14" t="n"/>
    </row>
    <row r="15">
      <c r="A15" s="14" t="inlineStr">
        <is>
          <t>HCP email (endemic lists)</t>
        </is>
      </c>
      <c r="B15" s="19">
        <f>'Media plan'!D13</f>
        <v/>
      </c>
      <c r="C15" s="19">
        <f>B15*$C$6</f>
        <v/>
      </c>
      <c r="D15" s="20">
        <f>ROUND(B15*0.33,0)</f>
        <v/>
      </c>
      <c r="E15" s="21">
        <f>IFERROR(D15/C15,0)</f>
        <v/>
      </c>
      <c r="F15" s="14">
        <f>IF(E15&gt;1.1,"Over: slow down",IF(E15&lt;0.9,"Under: push or reallocate","On pace"))</f>
        <v/>
      </c>
      <c r="G15" s="14" t="n"/>
    </row>
    <row r="16">
      <c r="A16" s="14" t="inlineStr">
        <is>
          <t>Ad serving, verification, contingency</t>
        </is>
      </c>
      <c r="B16" s="19">
        <f>'Media plan'!D14</f>
        <v/>
      </c>
      <c r="C16" s="19">
        <f>B16*$C$6</f>
        <v/>
      </c>
      <c r="D16" s="20">
        <f>ROUND(B16*0.5,0)</f>
        <v/>
      </c>
      <c r="E16" s="21">
        <f>IFERROR(D16/C16,0)</f>
        <v/>
      </c>
      <c r="F16" s="14">
        <f>IF(E16&gt;1.1,"Over: slow down",IF(E16&lt;0.9,"Under: push or reallocate","On pace"))</f>
        <v/>
      </c>
      <c r="G16" s="14" t="n"/>
    </row>
  </sheetData>
  <conditionalFormatting sqref="F9:F16">
    <cfRule type="expression" priority="1" dxfId="0">
      <formula>ISNUMBER(SEARCH("Over",F9))</formula>
    </cfRule>
    <cfRule type="expression" priority="2" dxfId="2">
      <formula>ISNUMBER(SEARCH("Under",F9))</formula>
    </cfRule>
    <cfRule type="expression" priority="3" dxfId="3">
      <formula>F9="On pace"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8" customWidth="1" min="4" max="4"/>
    <col width="14" customWidth="1" min="5" max="5"/>
    <col width="18" customWidth="1" min="6" max="6"/>
    <col width="12" customWidth="1" min="7" max="7"/>
    <col width="30" customWidth="1" min="8" max="8"/>
  </cols>
  <sheetData>
    <row r="1">
      <c r="A1" s="1" t="inlineStr">
        <is>
          <t>Reconciliation · plan vs IO vs delivered vs invoiced</t>
        </is>
      </c>
    </row>
    <row r="2">
      <c r="A2" s="2" t="inlineStr">
        <is>
          <t>Flag anything over 2% so billing questions are raised before month end.</t>
        </is>
      </c>
    </row>
    <row r="4" ht="30" customHeight="1">
      <c r="A4" s="6" t="inlineStr">
        <is>
          <t>Vendor / channel</t>
        </is>
      </c>
      <c r="B4" s="6" t="inlineStr">
        <is>
          <t>Planned</t>
        </is>
      </c>
      <c r="C4" s="6" t="inlineStr">
        <is>
          <t>IO signed</t>
        </is>
      </c>
      <c r="D4" s="6" t="inlineStr">
        <is>
          <t>Delivered (ad server)</t>
        </is>
      </c>
      <c r="E4" s="6" t="inlineStr">
        <is>
          <t>Invoiced</t>
        </is>
      </c>
      <c r="F4" s="6" t="inlineStr">
        <is>
          <t>Invoice vs delivered</t>
        </is>
      </c>
      <c r="G4" s="6" t="inlineStr">
        <is>
          <t>Variance %</t>
        </is>
      </c>
      <c r="H4" s="6" t="inlineStr">
        <is>
          <t>Action</t>
        </is>
      </c>
    </row>
    <row r="5">
      <c r="A5" s="14" t="inlineStr">
        <is>
          <t>Paid search (Google, Microsoft)</t>
        </is>
      </c>
      <c r="B5" s="19">
        <f>'Media plan'!D7</f>
        <v/>
      </c>
      <c r="C5" s="20">
        <f>ROUND(B5*1,0)</f>
        <v/>
      </c>
      <c r="D5" s="20">
        <f>ROUND(B5*1,0)</f>
        <v/>
      </c>
      <c r="E5" s="20">
        <f>ROUND(B5*1,0)</f>
        <v/>
      </c>
      <c r="F5" s="19">
        <f>E5-D5</f>
        <v/>
      </c>
      <c r="G5" s="22">
        <f>IFERROR(F5/D5,0)</f>
        <v/>
      </c>
      <c r="H5" s="14">
        <f>IF(ABS(G5)&gt;0.02,"Query vendor before approving","OK to approve")</f>
        <v/>
      </c>
    </row>
    <row r="6">
      <c r="A6" s="14" t="inlineStr">
        <is>
          <t>Programmatic display (DSP, contextual health)</t>
        </is>
      </c>
      <c r="B6" s="19">
        <f>'Media plan'!D8</f>
        <v/>
      </c>
      <c r="C6" s="20">
        <f>ROUND(B6*1,0)</f>
        <v/>
      </c>
      <c r="D6" s="20">
        <f>ROUND(B6*0.97,0)</f>
        <v/>
      </c>
      <c r="E6" s="20">
        <f>ROUND(B6*0.97,0)</f>
        <v/>
      </c>
      <c r="F6" s="19">
        <f>E6-D6</f>
        <v/>
      </c>
      <c r="G6" s="22">
        <f>IFERROR(F6/D6,0)</f>
        <v/>
      </c>
      <c r="H6" s="14">
        <f>IF(ABS(G6)&gt;0.02,"Query vendor before approving","OK to approve")</f>
        <v/>
      </c>
    </row>
    <row r="7">
      <c r="A7" s="14" t="inlineStr">
        <is>
          <t>Online video + CTV</t>
        </is>
      </c>
      <c r="B7" s="19">
        <f>'Media plan'!D9</f>
        <v/>
      </c>
      <c r="C7" s="20">
        <f>ROUND(B7*0.98,0)</f>
        <v/>
      </c>
      <c r="D7" s="20">
        <f>ROUND(B7*0.99,0)</f>
        <v/>
      </c>
      <c r="E7" s="20">
        <f>ROUND(B7*1.02,0)</f>
        <v/>
      </c>
      <c r="F7" s="19">
        <f>E7-D7</f>
        <v/>
      </c>
      <c r="G7" s="22">
        <f>IFERROR(F7/D7,0)</f>
        <v/>
      </c>
      <c r="H7" s="14">
        <f>IF(ABS(G7)&gt;0.02,"Query vendor before approving","OK to approve")</f>
        <v/>
      </c>
    </row>
    <row r="8">
      <c r="A8" s="14" t="inlineStr">
        <is>
          <t>Paid social (Meta, broad + contextual)</t>
        </is>
      </c>
      <c r="B8" s="19">
        <f>'Media plan'!D10</f>
        <v/>
      </c>
      <c r="C8" s="20">
        <f>ROUND(B8*1,0)</f>
        <v/>
      </c>
      <c r="D8" s="20">
        <f>ROUND(B8*1.0,0)</f>
        <v/>
      </c>
      <c r="E8" s="20">
        <f>ROUND(B8*1.0,0)</f>
        <v/>
      </c>
      <c r="F8" s="19">
        <f>E8-D8</f>
        <v/>
      </c>
      <c r="G8" s="22">
        <f>IFERROR(F8/D8,0)</f>
        <v/>
      </c>
      <c r="H8" s="14">
        <f>IF(ABS(G8)&gt;0.02,"Query vendor before approving","OK to approve")</f>
        <v/>
      </c>
    </row>
    <row r="9">
      <c r="A9" s="14" t="inlineStr">
        <is>
          <t>Mobile in-app</t>
        </is>
      </c>
      <c r="B9" s="19">
        <f>'Media plan'!D11</f>
        <v/>
      </c>
      <c r="C9" s="20">
        <f>ROUND(B9*1,0)</f>
        <v/>
      </c>
      <c r="D9" s="20">
        <f>ROUND(B9*0.95,0)</f>
        <v/>
      </c>
      <c r="E9" s="20">
        <f>ROUND(B9*0.95,0)</f>
        <v/>
      </c>
      <c r="F9" s="19">
        <f>E9-D9</f>
        <v/>
      </c>
      <c r="G9" s="22">
        <f>IFERROR(F9/D9,0)</f>
        <v/>
      </c>
      <c r="H9" s="14">
        <f>IF(ABS(G9)&gt;0.02,"Query vendor before approving","OK to approve")</f>
        <v/>
      </c>
    </row>
    <row r="10">
      <c r="A10" s="14" t="inlineStr">
        <is>
          <t>HCP endemic (Medscape, Doximity)</t>
        </is>
      </c>
      <c r="B10" s="19">
        <f>'Media plan'!D12</f>
        <v/>
      </c>
      <c r="C10" s="20">
        <f>ROUND(B10*1,0)</f>
        <v/>
      </c>
      <c r="D10" s="20">
        <f>ROUND(B10*1.0,0)</f>
        <v/>
      </c>
      <c r="E10" s="20">
        <f>ROUND(B10*1.04,0)</f>
        <v/>
      </c>
      <c r="F10" s="19">
        <f>E10-D10</f>
        <v/>
      </c>
      <c r="G10" s="22">
        <f>IFERROR(F10/D10,0)</f>
        <v/>
      </c>
      <c r="H10" s="14">
        <f>IF(ABS(G10)&gt;0.02,"Query vendor before approving","OK to approve")</f>
        <v/>
      </c>
    </row>
    <row r="11">
      <c r="A11" s="14" t="inlineStr">
        <is>
          <t>HCP email (endemic lists)</t>
        </is>
      </c>
      <c r="B11" s="19">
        <f>'Media plan'!D13</f>
        <v/>
      </c>
      <c r="C11" s="20">
        <f>ROUND(B11*1,0)</f>
        <v/>
      </c>
      <c r="D11" s="20">
        <f>ROUND(B11*1.0,0)</f>
        <v/>
      </c>
      <c r="E11" s="20">
        <f>ROUND(B11*1.0,0)</f>
        <v/>
      </c>
      <c r="F11" s="19">
        <f>E11-D11</f>
        <v/>
      </c>
      <c r="G11" s="22">
        <f>IFERROR(F11/D11,0)</f>
        <v/>
      </c>
      <c r="H11" s="14">
        <f>IF(ABS(G11)&gt;0.02,"Query vendor before approving","OK to approve")</f>
        <v/>
      </c>
    </row>
    <row r="12">
      <c r="A12" s="14" t="inlineStr">
        <is>
          <t>Ad serving, verification, contingency</t>
        </is>
      </c>
      <c r="B12" s="19">
        <f>'Media plan'!D14</f>
        <v/>
      </c>
      <c r="C12" s="20">
        <f>ROUND(B12*1,0)</f>
        <v/>
      </c>
      <c r="D12" s="20">
        <f>ROUND(B12*0.9,0)</f>
        <v/>
      </c>
      <c r="E12" s="20">
        <f>ROUND(B12*0.9,0)</f>
        <v/>
      </c>
      <c r="F12" s="19">
        <f>E12-D12</f>
        <v/>
      </c>
      <c r="G12" s="22">
        <f>IFERROR(F12/D12,0)</f>
        <v/>
      </c>
      <c r="H12" s="14">
        <f>IF(ABS(G12)&gt;0.02,"Query vendor before approving","OK to approve")</f>
        <v/>
      </c>
    </row>
  </sheetData>
  <conditionalFormatting sqref="H5:H12">
    <cfRule type="expression" priority="1" dxfId="0">
      <formula>LEFT(H5,5)="Query"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0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22" customWidth="1" min="3" max="3"/>
    <col width="10" customWidth="1" min="4" max="4"/>
    <col width="11" customWidth="1" min="5" max="5"/>
    <col width="16" customWidth="1" min="6" max="6"/>
    <col width="6" customWidth="1" min="7" max="7"/>
    <col width="14" customWidth="1" min="8" max="8"/>
    <col width="11" customWidth="1" min="9" max="9"/>
    <col width="80" customWidth="1" min="10" max="10"/>
    <col width="40" customWidth="1" min="11" max="11"/>
  </cols>
  <sheetData>
    <row r="1">
      <c r="A1" s="1" t="inlineStr">
        <is>
          <t>Naming convention · campaigns, placements, creative, UTMs</t>
        </is>
      </c>
    </row>
    <row r="2">
      <c r="A2" s="2" t="inlineStr">
        <is>
          <t>One name everywhere: plan, DSP, ad server, analytics. Underscores between parts, hyphens inside a part, no spaces.</t>
        </is>
      </c>
    </row>
    <row r="4" ht="30" customHeight="1">
      <c r="A4" s="6" t="inlineStr">
        <is>
          <t>Client</t>
        </is>
      </c>
      <c r="B4" s="6" t="inlineStr">
        <is>
          <t>Brand</t>
        </is>
      </c>
      <c r="C4" s="6" t="inlineStr">
        <is>
          <t>Campaign</t>
        </is>
      </c>
      <c r="D4" s="6" t="inlineStr">
        <is>
          <t>Audience</t>
        </is>
      </c>
      <c r="E4" s="6" t="inlineStr">
        <is>
          <t>Channel</t>
        </is>
      </c>
      <c r="F4" s="6" t="inlineStr">
        <is>
          <t>Tactic</t>
        </is>
      </c>
      <c r="G4" s="6" t="inlineStr">
        <is>
          <t>Geo</t>
        </is>
      </c>
      <c r="H4" s="6" t="inlineStr">
        <is>
          <t>Start (YYYYMM)</t>
        </is>
      </c>
      <c r="I4" s="6" t="inlineStr">
        <is>
          <t>MLR code</t>
        </is>
      </c>
      <c r="J4" s="6" t="inlineStr">
        <is>
          <t>Generated name</t>
        </is>
      </c>
      <c r="K4" s="6" t="inlineStr">
        <is>
          <t>utm_campaign</t>
        </is>
      </c>
    </row>
    <row r="5">
      <c r="A5" s="23" t="inlineStr">
        <is>
          <t>KLK</t>
        </is>
      </c>
      <c r="B5" s="23" t="inlineStr">
        <is>
          <t>UNB-MIGRAINE</t>
        </is>
      </c>
      <c r="C5" s="23" t="inlineStr">
        <is>
          <t>KNOW-YOUR-MIGRAINE</t>
        </is>
      </c>
      <c r="D5" s="23" t="inlineStr">
        <is>
          <t>PT</t>
        </is>
      </c>
      <c r="E5" s="23" t="inlineStr">
        <is>
          <t>SEARCH</t>
        </is>
      </c>
      <c r="F5" s="23" t="inlineStr">
        <is>
          <t>SYMPTOM-KW</t>
        </is>
      </c>
      <c r="G5" s="23" t="inlineStr">
        <is>
          <t>US</t>
        </is>
      </c>
      <c r="H5" s="23" t="inlineStr">
        <is>
          <t>202701</t>
        </is>
      </c>
      <c r="I5" s="23" t="inlineStr">
        <is>
          <t>MLR-0142</t>
        </is>
      </c>
      <c r="J5" s="14">
        <f>UPPER(A5&amp;"_"&amp;B5&amp;"_"&amp;C5&amp;"_"&amp;D5&amp;"_"&amp;E5&amp;"_"&amp;F5&amp;"_"&amp;G5&amp;"_"&amp;H5&amp;"_"&amp;I5)</f>
        <v/>
      </c>
      <c r="K5" s="14">
        <f>LOWER(B5&amp;"_"&amp;C5&amp;"_"&amp;H5)</f>
        <v/>
      </c>
    </row>
    <row r="6">
      <c r="A6" s="23" t="inlineStr">
        <is>
          <t>KLK</t>
        </is>
      </c>
      <c r="B6" s="23" t="inlineStr">
        <is>
          <t>UNB-MIGRAINE</t>
        </is>
      </c>
      <c r="C6" s="23" t="inlineStr">
        <is>
          <t>KNOW-YOUR-MIGRAINE</t>
        </is>
      </c>
      <c r="D6" s="23" t="inlineStr">
        <is>
          <t>PT</t>
        </is>
      </c>
      <c r="E6" s="23" t="inlineStr">
        <is>
          <t>CTV</t>
        </is>
      </c>
      <c r="F6" s="23" t="inlineStr">
        <is>
          <t>CONTEXT-HEALTH</t>
        </is>
      </c>
      <c r="G6" s="23" t="inlineStr">
        <is>
          <t>US</t>
        </is>
      </c>
      <c r="H6" s="23" t="inlineStr">
        <is>
          <t>202701</t>
        </is>
      </c>
      <c r="I6" s="23" t="inlineStr">
        <is>
          <t>MLR-0143</t>
        </is>
      </c>
      <c r="J6" s="14">
        <f>UPPER(A6&amp;"_"&amp;B6&amp;"_"&amp;C6&amp;"_"&amp;D6&amp;"_"&amp;E6&amp;"_"&amp;F6&amp;"_"&amp;G6&amp;"_"&amp;H6&amp;"_"&amp;I6)</f>
        <v/>
      </c>
      <c r="K6" s="14">
        <f>LOWER(B6&amp;"_"&amp;C6&amp;"_"&amp;H6)</f>
        <v/>
      </c>
    </row>
    <row r="7">
      <c r="A7" s="23" t="inlineStr">
        <is>
          <t>KLK</t>
        </is>
      </c>
      <c r="B7" s="23" t="inlineStr">
        <is>
          <t>UNB-MIGRAINE</t>
        </is>
      </c>
      <c r="C7" s="23" t="inlineStr">
        <is>
          <t>KNOW-YOUR-MIGRAINE</t>
        </is>
      </c>
      <c r="D7" s="23" t="inlineStr">
        <is>
          <t>HCP</t>
        </is>
      </c>
      <c r="E7" s="23" t="inlineStr">
        <is>
          <t>ENDEMIC</t>
        </is>
      </c>
      <c r="F7" s="23" t="inlineStr">
        <is>
          <t>NEURO-PCP</t>
        </is>
      </c>
      <c r="G7" s="23" t="inlineStr">
        <is>
          <t>US</t>
        </is>
      </c>
      <c r="H7" s="23" t="inlineStr">
        <is>
          <t>202701</t>
        </is>
      </c>
      <c r="I7" s="23" t="inlineStr">
        <is>
          <t>MLR-0150</t>
        </is>
      </c>
      <c r="J7" s="14">
        <f>UPPER(A7&amp;"_"&amp;B7&amp;"_"&amp;C7&amp;"_"&amp;D7&amp;"_"&amp;E7&amp;"_"&amp;F7&amp;"_"&amp;G7&amp;"_"&amp;H7&amp;"_"&amp;I7)</f>
        <v/>
      </c>
      <c r="K7" s="14">
        <f>LOWER(B7&amp;"_"&amp;C7&amp;"_"&amp;H7)</f>
        <v/>
      </c>
    </row>
    <row r="10">
      <c r="A10" s="2" t="inlineStr">
        <is>
          <t>Audience codes: PT = patient, HCP = healthcare professional, CG = caregiver.</t>
        </is>
      </c>
    </row>
  </sheetData>
  <dataValidations count="2">
    <dataValidation sqref="D5:D50" showDropDown="0" showInputMessage="0" showErrorMessage="0" allowBlank="0" type="list">
      <formula1>"PT,HCP,CG"</formula1>
    </dataValidation>
    <dataValidation sqref="E5:E50" showDropDown="0" showInputMessage="0" showErrorMessage="0" allowBlank="0" type="list">
      <formula1>"SEARCH,DISPLAY,OLV,CTV,SOCIAL,MOBILE,ENDEMIC,EMAIL"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95" customWidth="1" min="2" max="2"/>
    <col width="14" customWidth="1" min="3" max="3"/>
    <col width="9" customWidth="1" min="4" max="4"/>
  </cols>
  <sheetData>
    <row r="1">
      <c r="A1" s="1" t="inlineStr">
        <is>
          <t>Pre-launch QA · health media</t>
        </is>
      </c>
    </row>
    <row r="2">
      <c r="A2" s="2" t="inlineStr">
        <is>
          <t>Tick every line before a placement goes live. Your MLR and legal teams have the final word; this is a coordinator's checklist.</t>
        </is>
      </c>
    </row>
    <row r="4" ht="30" customHeight="1">
      <c r="A4" s="6" t="inlineStr">
        <is>
          <t>#</t>
        </is>
      </c>
      <c r="B4" s="6" t="inlineStr">
        <is>
          <t>Check</t>
        </is>
      </c>
      <c r="C4" s="6" t="inlineStr">
        <is>
          <t>Applies to</t>
        </is>
      </c>
      <c r="D4" s="6" t="inlineStr">
        <is>
          <t>Done?</t>
        </is>
      </c>
    </row>
    <row r="5" ht="32" customHeight="1">
      <c r="A5" s="14" t="n">
        <v>1</v>
      </c>
      <c r="B5" s="7" t="inlineStr">
        <is>
          <t>Every creative has an approved MLR (medical, legal, regulatory) code, and the code is in the creative name</t>
        </is>
      </c>
      <c r="C5" s="14" t="inlineStr">
        <is>
          <t>All</t>
        </is>
      </c>
      <c r="D5" s="23" t="inlineStr">
        <is>
          <t>No</t>
        </is>
      </c>
    </row>
    <row r="6" ht="32" customHeight="1">
      <c r="A6" s="14" t="n">
        <v>2</v>
      </c>
      <c r="B6" s="7" t="inlineStr">
        <is>
          <t>Branded Rx (US): fair balance and Important Safety Information are present and readable on every unit</t>
        </is>
      </c>
      <c r="C6" s="14" t="inlineStr">
        <is>
          <t>Branded</t>
        </is>
      </c>
      <c r="D6" s="23" t="inlineStr">
        <is>
          <t>No</t>
        </is>
      </c>
    </row>
    <row r="7" ht="32" customHeight="1">
      <c r="A7" s="14" t="n">
        <v>3</v>
      </c>
      <c r="B7" s="7" t="inlineStr">
        <is>
          <t>Unbranded: no product name, colours or claims that could tie the ad to a product</t>
        </is>
      </c>
      <c r="C7" s="14" t="inlineStr">
        <is>
          <t>Unbranded</t>
        </is>
      </c>
      <c r="D7" s="23" t="inlineStr">
        <is>
          <t>No</t>
        </is>
      </c>
    </row>
    <row r="8" ht="32" customHeight="1">
      <c r="A8" s="14" t="n">
        <v>4</v>
      </c>
      <c r="B8" s="7" t="inlineStr">
        <is>
          <t>Canada: Rx ads to consumers stay within name, price and quantity; HCP materials have PAAB clearance where needed</t>
        </is>
      </c>
      <c r="C8" s="14" t="inlineStr">
        <is>
          <t>Canada</t>
        </is>
      </c>
      <c r="D8" s="23" t="inlineStr">
        <is>
          <t>No</t>
        </is>
      </c>
    </row>
    <row r="9" ht="32" customHeight="1">
      <c r="A9" s="14" t="n">
        <v>5</v>
      </c>
      <c r="B9" s="7" t="inlineStr">
        <is>
          <t>Google: account and ads follow the Healthcare and medicines policy; Rx ads in the US need Google certification</t>
        </is>
      </c>
      <c r="C9" s="14" t="inlineStr">
        <is>
          <t>Search</t>
        </is>
      </c>
      <c r="D9" s="23" t="inlineStr">
        <is>
          <t>No</t>
        </is>
      </c>
    </row>
    <row r="10" ht="32" customHeight="1">
      <c r="A10" s="14" t="n">
        <v>6</v>
      </c>
      <c r="B10" s="7" t="inlineStr">
        <is>
          <t>Meta: no targeting or copy that implies someone has a health condition; check current limits on health data and events</t>
        </is>
      </c>
      <c r="C10" s="14" t="inlineStr">
        <is>
          <t>Social</t>
        </is>
      </c>
      <c r="D10" s="23" t="inlineStr">
        <is>
          <t>No</t>
        </is>
      </c>
    </row>
    <row r="11" ht="32" customHeight="1">
      <c r="A11" s="14" t="n">
        <v>7</v>
      </c>
      <c r="B11" s="7" t="inlineStr">
        <is>
          <t>No retargeting from condition pages without consent; check state health-privacy laws such as Washington's My Health My Data Act</t>
        </is>
      </c>
      <c r="C11" s="14" t="inlineStr">
        <is>
          <t>All digital</t>
        </is>
      </c>
      <c r="D11" s="23" t="inlineStr">
        <is>
          <t>No</t>
        </is>
      </c>
    </row>
    <row r="12" ht="32" customHeight="1">
      <c r="A12" s="14" t="n">
        <v>8</v>
      </c>
      <c r="B12" s="7" t="inlineStr">
        <is>
          <t>Patient site pixels and tags reviewed with privacy/legal (no health data sent to ad platforms)</t>
        </is>
      </c>
      <c r="C12" s="14" t="inlineStr">
        <is>
          <t>All digital</t>
        </is>
      </c>
      <c r="D12" s="23" t="inlineStr">
        <is>
          <t>No</t>
        </is>
      </c>
    </row>
    <row r="13" ht="32" customHeight="1">
      <c r="A13" s="14" t="n">
        <v>9</v>
      </c>
      <c r="B13" s="7" t="inlineStr">
        <is>
          <t>HCP audiences are NPI-verified on endemic platforms</t>
        </is>
      </c>
      <c r="C13" s="14" t="inlineStr">
        <is>
          <t>HCP</t>
        </is>
      </c>
      <c r="D13" s="23" t="inlineStr">
        <is>
          <t>No</t>
        </is>
      </c>
    </row>
    <row r="14" ht="32" customHeight="1">
      <c r="A14" s="14" t="n">
        <v>10</v>
      </c>
      <c r="B14" s="7" t="inlineStr">
        <is>
          <t>Brand safety, contextual exclusions and frequency caps set in every platform</t>
        </is>
      </c>
      <c r="C14" s="14" t="inlineStr">
        <is>
          <t>All</t>
        </is>
      </c>
      <c r="D14" s="23" t="inlineStr">
        <is>
          <t>No</t>
        </is>
      </c>
    </row>
    <row r="15" ht="32" customHeight="1">
      <c r="A15" s="14" t="n">
        <v>11</v>
      </c>
      <c r="B15" s="7" t="inlineStr">
        <is>
          <t>Tracking: names and UTMs follow the Naming tab; links tested end to end</t>
        </is>
      </c>
      <c r="C15" s="14" t="inlineStr">
        <is>
          <t>All</t>
        </is>
      </c>
      <c r="D15" s="23" t="inlineStr">
        <is>
          <t>No</t>
        </is>
      </c>
    </row>
    <row r="16" ht="32" customHeight="1">
      <c r="A16" s="14" t="n">
        <v>12</v>
      </c>
      <c r="B16" s="7" t="inlineStr">
        <is>
          <t>Trafficking sheet matches the plan: dates, budgets, sizes, landing pages</t>
        </is>
      </c>
      <c r="C16" s="14" t="inlineStr">
        <is>
          <t>All</t>
        </is>
      </c>
      <c r="D16" s="23" t="inlineStr">
        <is>
          <t>No</t>
        </is>
      </c>
    </row>
  </sheetData>
  <conditionalFormatting sqref="D5:D16">
    <cfRule type="cellIs" priority="1" operator="equal" dxfId="3">
      <formula>"Yes"</formula>
    </cfRule>
    <cfRule type="cellIs" priority="2" operator="equal" dxfId="0">
      <formula>"No"</formula>
    </cfRule>
  </conditionalFormatting>
  <dataValidations count="1">
    <dataValidation sqref="D5:D16" showDropDown="0" showInputMessage="0" showErrorMessage="0" allowBlank="0" type="list">
      <formula1>"Yes,No,N/A"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2026-10-13T13:11:13Z</dcterms:created>
  <dcterms:modified xmlns:dcterms="http://purl.org/dc/terms/" xmlns:xsi="http://www.w3.org/2001/XMLSchema-instance" xsi:type="dcterms:W3CDTF">2026-10-13T13:11:13Z</dcterms:modified>
</cp:coreProperties>
</file>