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6-Month Roadmap" sheetId="2" state="visible" r:id="rId2"/>
    <sheet xmlns:r="http://schemas.openxmlformats.org/officeDocument/2006/relationships" name="Weekly Calendar" sheetId="3" state="visible" r:id="rId3"/>
    <sheet xmlns:r="http://schemas.openxmlformats.org/officeDocument/2006/relationships" name="ABM Accounts" sheetId="4" state="visible" r:id="rId4"/>
    <sheet xmlns:r="http://schemas.openxmlformats.org/officeDocument/2006/relationships" name="Scoring Model" sheetId="5" state="visible" r:id="rId5"/>
    <sheet xmlns:r="http://schemas.openxmlformats.org/officeDocument/2006/relationships" name="Buying Group + Messaging" sheetId="6" state="visible" r:id="rId6"/>
    <sheet xmlns:r="http://schemas.openxmlformats.org/officeDocument/2006/relationships" name="ABM Plays" sheetId="7" state="visible" r:id="rId7"/>
    <sheet xmlns:r="http://schemas.openxmlformats.org/officeDocument/2006/relationships" name="LinkedIn Ads" sheetId="8" state="visible" r:id="rId8"/>
    <sheet xmlns:r="http://schemas.openxmlformats.org/officeDocument/2006/relationships" name="Webinars" sheetId="9" state="visible" r:id="rId9"/>
    <sheet xmlns:r="http://schemas.openxmlformats.org/officeDocument/2006/relationships" name="Event Playbook" sheetId="10" state="visible" r:id="rId10"/>
    <sheet xmlns:r="http://schemas.openxmlformats.org/officeDocument/2006/relationships" name="Case Studies" sheetId="11" state="visible" r:id="rId11"/>
    <sheet xmlns:r="http://schemas.openxmlformats.org/officeDocument/2006/relationships" name="Rep Assets" sheetId="12" state="visible" r:id="rId12"/>
    <sheet xmlns:r="http://schemas.openxmlformats.org/officeDocument/2006/relationships" name="Hand-off Rules" sheetId="13" state="visible" r:id="rId13"/>
    <sheet xmlns:r="http://schemas.openxmlformats.org/officeDocument/2006/relationships" name="KPI Dashboard" sheetId="14" state="visible" r:id="rId14"/>
    <sheet xmlns:r="http://schemas.openxmlformats.org/officeDocument/2006/relationships" name="UTM Builder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Calibri"/>
      <b val="1"/>
      <color rgb="000B1020"/>
      <sz val="18"/>
    </font>
    <font>
      <name val="Calibri"/>
      <i val="1"/>
      <color rgb="006B7590"/>
      <sz val="10"/>
    </font>
    <font>
      <name val="Calibri"/>
      <b val="1"/>
      <color rgb="00FFFFFF"/>
      <sz val="11"/>
    </font>
    <font>
      <name val="Calibri"/>
      <b val="1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E3E8F5"/>
      </left>
      <right style="thin">
        <color rgb="00E3E8F5"/>
      </right>
      <top style="thin">
        <color rgb="00E3E8F5"/>
      </top>
      <bottom style="thin">
        <color rgb="00E3E8F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0" borderId="0" pivotButton="0" quotePrefix="0" xfId="0"/>
    <xf numFmtId="164" fontId="0" fillId="3" borderId="0" pivotButton="0" quotePrefix="0" xfId="0"/>
    <xf numFmtId="9" fontId="0" fillId="0" borderId="1" applyAlignment="1" pivotButton="0" quotePrefix="0" xfId="0">
      <alignment vertical="top" wrapText="1"/>
    </xf>
    <xf numFmtId="164" fontId="0" fillId="0" borderId="1" pivotButton="0" quotePrefix="0" xfId="0"/>
    <xf numFmtId="9" fontId="0" fillId="0" borderId="0" pivotButton="0" quotePrefix="0" xfId="0"/>
    <xf numFmtId="164" fontId="0" fillId="0" borderId="0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26" customWidth="1" min="3" max="3"/>
  </cols>
  <sheetData>
    <row r="1">
      <c r="A1" s="1" t="inlineStr">
        <is>
          <t>Limina · Demand Gen months 1 to 6</t>
        </is>
      </c>
    </row>
    <row r="2">
      <c r="A2" s="2" t="inlineStr">
        <is>
          <t>By Durva Thakkar for Tyler Munro. Yellow cells are inputs. All numbers are SAMPLE targets to agree in month 1.</t>
        </is>
      </c>
    </row>
    <row r="4" ht="30" customHeight="1">
      <c r="A4" s="3" t="inlineStr">
        <is>
          <t>Tab</t>
        </is>
      </c>
      <c r="B4" s="3" t="inlineStr">
        <is>
          <t>What it is</t>
        </is>
      </c>
      <c r="C4" s="3" t="inlineStr">
        <is>
          <t>Who uses it</t>
        </is>
      </c>
    </row>
    <row r="5">
      <c r="A5" s="4" t="inlineStr">
        <is>
          <t>6-Month Roadmap</t>
        </is>
      </c>
      <c r="B5" s="4" t="inlineStr">
        <is>
          <t>Theme, campaigns, deliverables and the number we watch, per month</t>
        </is>
      </c>
      <c r="C5" s="4" t="inlineStr">
        <is>
          <t>Durva, Tyler</t>
        </is>
      </c>
    </row>
    <row r="6">
      <c r="A6" s="4" t="inlineStr">
        <is>
          <t>Weekly Calendar</t>
        </is>
      </c>
      <c r="B6" s="4" t="inlineStr">
        <is>
          <t>26 weeks of campaigns across webinars, email, ads, ABM, events, case studies</t>
        </is>
      </c>
      <c r="C6" s="4" t="inlineStr">
        <is>
          <t>Durva, MDR</t>
        </is>
      </c>
    </row>
    <row r="7">
      <c r="A7" s="4" t="inlineStr">
        <is>
          <t>ABM Accounts</t>
        </is>
      </c>
      <c r="B7" s="4" t="inlineStr">
        <is>
          <t>Tiered target accounts with an automatic account score and status</t>
        </is>
      </c>
      <c r="C7" s="4" t="inlineStr">
        <is>
          <t>Durva + MDR (+ AEs)</t>
        </is>
      </c>
    </row>
    <row r="8">
      <c r="A8" s="4" t="inlineStr">
        <is>
          <t>Scoring Model</t>
        </is>
      </c>
      <c r="B8" s="4" t="inlineStr">
        <is>
          <t>The signals and points behind the account score</t>
        </is>
      </c>
      <c r="C8" s="4" t="inlineStr">
        <is>
          <t>Durva, MDR, Tyler</t>
        </is>
      </c>
    </row>
    <row r="9">
      <c r="A9" s="4" t="inlineStr">
        <is>
          <t>Buying Group + Messaging</t>
        </is>
      </c>
      <c r="B9" s="4" t="inlineStr">
        <is>
          <t>Personas, what they care about, our message and proof</t>
        </is>
      </c>
      <c r="C9" s="4" t="inlineStr">
        <is>
          <t>Everyone</t>
        </is>
      </c>
    </row>
    <row r="10">
      <c r="A10" s="4" t="inlineStr">
        <is>
          <t>ABM Plays</t>
        </is>
      </c>
      <c r="B10" s="4" t="inlineStr">
        <is>
          <t>What we do at each stage, per tier, and who owns it</t>
        </is>
      </c>
      <c r="C10" s="4" t="inlineStr">
        <is>
          <t>Durva, MDR</t>
        </is>
      </c>
    </row>
    <row r="11">
      <c r="A11" s="4" t="inlineStr">
        <is>
          <t>LinkedIn Ads</t>
        </is>
      </c>
      <c r="B11" s="4" t="inlineStr">
        <is>
          <t>Campaigns, audiences, formats, budget split (formulas)</t>
        </is>
      </c>
      <c r="C11" s="4" t="inlineStr">
        <is>
          <t>Durva, Tyler</t>
        </is>
      </c>
    </row>
    <row r="12">
      <c r="A12" s="4" t="inlineStr">
        <is>
          <t>Webinars</t>
        </is>
      </c>
      <c r="B12" s="4" t="inlineStr">
        <is>
          <t>Monthly program with the T-minus run sheet</t>
        </is>
      </c>
      <c r="C12" s="4" t="inlineStr">
        <is>
          <t>Durva</t>
        </is>
      </c>
    </row>
    <row r="13">
      <c r="A13" s="4" t="inlineStr">
        <is>
          <t>Event Playbook</t>
        </is>
      </c>
      <c r="B13" s="4" t="inlineStr">
        <is>
          <t>T-60 to T+14 tasks for each event, with owners</t>
        </is>
      </c>
      <c r="C13" s="4" t="inlineStr">
        <is>
          <t>Durva, MDR, Tyler</t>
        </is>
      </c>
    </row>
    <row r="14">
      <c r="A14" s="4" t="inlineStr">
        <is>
          <t>Case Studies</t>
        </is>
      </c>
      <c r="B14" s="4" t="inlineStr">
        <is>
          <t>Pipeline from ask to published</t>
        </is>
      </c>
      <c r="C14" s="4" t="inlineStr">
        <is>
          <t>Durva, CS, Sales</t>
        </is>
      </c>
    </row>
    <row r="15">
      <c r="A15" s="4" t="inlineStr">
        <is>
          <t>Rep Assets</t>
        </is>
      </c>
      <c r="B15" s="4" t="inlineStr">
        <is>
          <t>Assets built for the MDR and AEs, and whether they get used</t>
        </is>
      </c>
      <c r="C15" s="4" t="inlineStr">
        <is>
          <t>Durva, MDR</t>
        </is>
      </c>
    </row>
    <row r="16">
      <c r="A16" s="4" t="inlineStr">
        <is>
          <t>Hand-off Rules</t>
        </is>
      </c>
      <c r="B16" s="4" t="inlineStr">
        <is>
          <t>The agreed rules between Demand Gen and the MDR</t>
        </is>
      </c>
      <c r="C16" s="4" t="inlineStr">
        <is>
          <t>Durva, MDR, Tyler</t>
        </is>
      </c>
    </row>
    <row r="17">
      <c r="A17" s="4" t="inlineStr">
        <is>
          <t>KPI Dashboard</t>
        </is>
      </c>
      <c r="B17" s="4" t="inlineStr">
        <is>
          <t>Monthly targets vs actuals, with conversion rates calculated</t>
        </is>
      </c>
      <c r="C17" s="4" t="inlineStr">
        <is>
          <t>Tyler</t>
        </is>
      </c>
    </row>
    <row r="18">
      <c r="A18" s="4" t="inlineStr">
        <is>
          <t>UTM Builder</t>
        </is>
      </c>
      <c r="B18" s="4" t="inlineStr">
        <is>
          <t>Builds tracked links for every campaign (formula)</t>
        </is>
      </c>
      <c r="C18" s="4" t="inlineStr">
        <is>
          <t>Durva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52" customWidth="1" min="4" max="4"/>
    <col width="46" customWidth="1" min="5" max="5"/>
    <col width="28" customWidth="1" min="6" max="6"/>
    <col width="14" customWidth="1" min="7" max="7"/>
  </cols>
  <sheetData>
    <row r="1">
      <c r="A1" s="1" t="inlineStr">
        <is>
          <t>Months 1 to 6</t>
        </is>
      </c>
    </row>
    <row r="2">
      <c r="A2" s="2" t="inlineStr">
        <is>
          <t>Sample dates assume a December start.</t>
        </is>
      </c>
    </row>
    <row r="4" ht="30" customHeight="1">
      <c r="A4" s="3" t="inlineStr">
        <is>
          <t>Month</t>
        </is>
      </c>
      <c r="B4" s="3" t="inlineStr">
        <is>
          <t>Dates</t>
        </is>
      </c>
      <c r="C4" s="3" t="inlineStr">
        <is>
          <t>Theme</t>
        </is>
      </c>
      <c r="D4" s="3" t="inlineStr">
        <is>
          <t>Campaigns + work</t>
        </is>
      </c>
      <c r="E4" s="3" t="inlineStr">
        <is>
          <t>Shipped</t>
        </is>
      </c>
      <c r="F4" s="3" t="inlineStr">
        <is>
          <t>Number we watch</t>
        </is>
      </c>
      <c r="G4" s="3" t="inlineStr">
        <is>
          <t>Status</t>
        </is>
      </c>
    </row>
    <row r="5">
      <c r="A5" s="4" t="n">
        <v>1</v>
      </c>
      <c r="B5" s="4" t="inlineStr">
        <is>
          <t>Dec 2026</t>
        </is>
      </c>
      <c r="C5" s="4" t="inlineStr">
        <is>
          <t>Learn + fix the plumbing</t>
        </is>
      </c>
      <c r="D5" s="4" t="inlineStr">
        <is>
          <t>Shadow MDR + 5 sales calls; HubSpot audit; agree MQL + account score; Webinar #1</t>
        </is>
      </c>
      <c r="E5" s="4" t="inlineStr">
        <is>
          <t>Scoring live; hand-off rules; webinar run sheet; report v1</t>
        </is>
      </c>
      <c r="F5" s="4" t="inlineStr">
        <is>
          <t>Clean database + webinar #1 attendance</t>
        </is>
      </c>
      <c r="G5" s="4" t="inlineStr">
        <is>
          <t>Not started</t>
        </is>
      </c>
    </row>
    <row r="6">
      <c r="A6" s="4" t="n">
        <v>2</v>
      </c>
      <c r="B6" s="4" t="inlineStr">
        <is>
          <t>Jan 2027</t>
        </is>
      </c>
      <c r="C6" s="4" t="inlineStr">
        <is>
          <t>Build the engine</t>
        </is>
      </c>
      <c r="D6" s="4" t="inlineStr">
        <is>
          <t>Always-on LinkedIn (3 campaigns); nurture emails; ABM tier 1 + 2 lists; Webinar #2</t>
        </is>
      </c>
      <c r="E6" s="4" t="inlineStr">
        <is>
          <t>Ads live with UTMs; 5-email nurture; tier 1 briefs; case study #1 booked</t>
        </is>
      </c>
      <c r="F6" s="4" t="inlineStr">
        <is>
          <t>MQLs per week</t>
        </is>
      </c>
      <c r="G6" s="4" t="inlineStr">
        <is>
          <t>Not started</t>
        </is>
      </c>
    </row>
    <row r="7">
      <c r="A7" s="4" t="n">
        <v>3</v>
      </c>
      <c r="B7" s="4" t="inlineStr">
        <is>
          <t>Feb 2027</t>
        </is>
      </c>
      <c r="C7" s="4" t="inlineStr">
        <is>
          <t>Launch the ABM pilot</t>
        </is>
      </c>
      <c r="D7" s="4" t="inlineStr">
        <is>
          <t>10 account pages; account-named ads; case file mailer; MDR 1:1; Webinar #3; benchmark survey</t>
        </is>
      </c>
      <c r="E7" s="4" t="inlineStr">
        <is>
          <t>Account pages; mailers; case study #1; industry one-pagers</t>
        </is>
      </c>
      <c r="F7" s="4" t="inlineStr">
        <is>
          <t>Engaged tier 1 accounts</t>
        </is>
      </c>
      <c r="G7" s="4" t="inlineStr">
        <is>
          <t>Not started</t>
        </is>
      </c>
    </row>
    <row r="8">
      <c r="A8" s="4" t="n">
        <v>4</v>
      </c>
      <c r="B8" s="4" t="inlineStr">
        <is>
          <t>Mar 2027</t>
        </is>
      </c>
      <c r="C8" s="4" t="inlineStr">
        <is>
          <t>Events season</t>
        </is>
      </c>
      <c r="D8" s="4" t="inlineStr">
        <is>
          <t>Event #1 talk + booth; "See you at" ads; Toronto privacy dinner; Webinar #4</t>
        </is>
      </c>
      <c r="E8" s="4" t="inlineStr">
        <is>
          <t>Event page + meeting form; booth demo; cookies; 48-hr follow-up</t>
        </is>
      </c>
      <c r="F8" s="4" t="inlineStr">
        <is>
          <t>Meetings booked at events</t>
        </is>
      </c>
      <c r="G8" s="4" t="inlineStr">
        <is>
          <t>Not started</t>
        </is>
      </c>
    </row>
    <row r="9">
      <c r="A9" s="4" t="n">
        <v>5</v>
      </c>
      <c r="B9" s="4" t="inlineStr">
        <is>
          <t>Apr 2027</t>
        </is>
      </c>
      <c r="C9" s="4" t="inlineStr">
        <is>
          <t>Double down</t>
        </is>
      </c>
      <c r="D9" s="4" t="inlineStr">
        <is>
          <t>Shift 20% budget to best channel; customer panel webinar; job-change play</t>
        </is>
      </c>
      <c r="E9" s="4" t="inlineStr">
        <is>
          <t>Budget memo; panel webinar; case study #2; job-change alerts</t>
        </is>
      </c>
      <c r="F9" s="4" t="inlineStr">
        <is>
          <t>Cost per meeting</t>
        </is>
      </c>
      <c r="G9" s="4" t="inlineStr">
        <is>
          <t>Not started</t>
        </is>
      </c>
    </row>
    <row r="10">
      <c r="A10" s="4" t="n">
        <v>6</v>
      </c>
      <c r="B10" s="4" t="inlineStr">
        <is>
          <t>May 2027</t>
        </is>
      </c>
      <c r="C10" s="4" t="inlineStr">
        <is>
          <t>Prove it + plan H2</t>
        </is>
      </c>
      <c r="D10" s="4" t="inlineStr">
        <is>
          <t>Benchmark report; ABM pilot review; case study #3; H2 plan</t>
        </is>
      </c>
      <c r="E10" s="4" t="inlineStr">
        <is>
          <t>Benchmark report; ABM results deck; case study #3; H2 plan</t>
        </is>
      </c>
      <c r="F10" s="4" t="inlineStr">
        <is>
          <t>Pipeline sourced + influenced</t>
        </is>
      </c>
      <c r="G10" s="4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22" customWidth="1" min="3" max="3"/>
    <col width="22" customWidth="1" min="4" max="4"/>
    <col width="22" customWidth="1" min="5" max="5"/>
    <col width="22" customWidth="1" min="6" max="6"/>
    <col width="20" customWidth="1" min="7" max="7"/>
    <col width="22" customWidth="1" min="8" max="8"/>
    <col width="18" customWidth="1" min="9" max="9"/>
  </cols>
  <sheetData>
    <row r="1">
      <c r="A1" s="1" t="inlineStr">
        <is>
          <t>26-week campaign calendar</t>
        </is>
      </c>
    </row>
    <row r="2">
      <c r="A2" s="2" t="inlineStr">
        <is>
          <t>Key weeks filled; blank weeks are build/optimise time. Edit freely.</t>
        </is>
      </c>
    </row>
    <row r="4" ht="30" customHeight="1">
      <c r="A4" s="3" t="inlineStr">
        <is>
          <t>Week</t>
        </is>
      </c>
      <c r="B4" s="3" t="inlineStr">
        <is>
          <t>Week of</t>
        </is>
      </c>
      <c r="C4" s="3" t="inlineStr">
        <is>
          <t>Webinar</t>
        </is>
      </c>
      <c r="D4" s="3" t="inlineStr">
        <is>
          <t>Email / nurture</t>
        </is>
      </c>
      <c r="E4" s="3" t="inlineStr">
        <is>
          <t>LinkedIn ads</t>
        </is>
      </c>
      <c r="F4" s="3" t="inlineStr">
        <is>
          <t>ABM</t>
        </is>
      </c>
      <c r="G4" s="3" t="inlineStr">
        <is>
          <t>Events</t>
        </is>
      </c>
      <c r="H4" s="3" t="inlineStr">
        <is>
          <t>Case studies</t>
        </is>
      </c>
      <c r="I4" s="3" t="inlineStr">
        <is>
          <t>Reporting</t>
        </is>
      </c>
    </row>
    <row r="5">
      <c r="A5" s="4" t="n">
        <v>1</v>
      </c>
      <c r="B5" s="4" t="inlineStr">
        <is>
          <t>Nov 30, 2026</t>
        </is>
      </c>
      <c r="C5" s="4" t="inlineStr">
        <is>
          <t>W#1 page + ads live</t>
        </is>
      </c>
      <c r="D5" s="4" t="inlineStr">
        <is>
          <t>Welcome nurture set up</t>
        </is>
      </c>
      <c r="E5" s="4" t="inlineStr">
        <is>
          <t>Awareness campaign live</t>
        </is>
      </c>
      <c r="F5" s="4" t="inlineStr">
        <is>
          <t>Agree ICP + tiers</t>
        </is>
      </c>
      <c r="G5" s="4" t="inlineStr">
        <is>
          <t>Shortlist 2 events</t>
        </is>
      </c>
      <c r="H5" s="4" t="inlineStr">
        <is>
          <t>Ask CS for 5 customers</t>
        </is>
      </c>
      <c r="I5" s="4" t="inlineStr">
        <is>
          <t>Report v1</t>
        </is>
      </c>
    </row>
    <row r="6">
      <c r="A6" s="4" t="n">
        <v>2</v>
      </c>
      <c r="B6" s="4" t="inlineStr">
        <is>
          <t>Dec 07, 2026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</row>
    <row r="7">
      <c r="A7" s="4" t="n">
        <v>3</v>
      </c>
      <c r="B7" s="4" t="inlineStr">
        <is>
          <t>Dec 14, 2026</t>
        </is>
      </c>
      <c r="C7" s="4" t="inlineStr">
        <is>
          <t>W#1 live + MDR follow-up</t>
        </is>
      </c>
      <c r="D7" s="4" t="inlineStr">
        <is>
          <t>Webinar follow-up emails</t>
        </is>
      </c>
      <c r="E7" s="4" t="inlineStr">
        <is>
          <t>Webinar ads</t>
        </is>
      </c>
      <c r="F7" s="4" t="inlineStr">
        <is>
          <t>Tier 1 list (10) agreed</t>
        </is>
      </c>
      <c r="G7" s="4" t="inlineStr">
        <is>
          <t>Speaking proposals</t>
        </is>
      </c>
      <c r="H7" s="4" t="inlineStr">
        <is>
          <t>Interview #1 booked</t>
        </is>
      </c>
      <c r="I7" s="4" t="inlineStr">
        <is>
          <t>Monthly report</t>
        </is>
      </c>
    </row>
    <row r="8">
      <c r="A8" s="4" t="n">
        <v>4</v>
      </c>
      <c r="B8" s="4" t="inlineStr">
        <is>
          <t>Dec 21, 2026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</row>
    <row r="9">
      <c r="A9" s="4" t="n">
        <v>5</v>
      </c>
      <c r="B9" s="4" t="inlineStr">
        <is>
          <t>Dec 28, 2026</t>
        </is>
      </c>
      <c r="C9" s="4" t="inlineStr">
        <is>
          <t>W#2 promo</t>
        </is>
      </c>
      <c r="D9" s="4" t="inlineStr">
        <is>
          <t>Guide nurture</t>
        </is>
      </c>
      <c r="E9" s="4" t="inlineStr">
        <is>
          <t>Thought leader ads</t>
        </is>
      </c>
      <c r="F9" s="4" t="inlineStr">
        <is>
          <t>Account briefs</t>
        </is>
      </c>
      <c r="G9" s="4" t="inlineStr">
        <is>
          <t>Event budget OK</t>
        </is>
      </c>
      <c r="H9" s="4" t="inlineStr">
        <is>
          <t>Interview #1</t>
        </is>
      </c>
      <c r="I9" s="4" t="inlineStr">
        <is>
          <t>Weekly update</t>
        </is>
      </c>
    </row>
    <row r="10">
      <c r="A10" s="4" t="n">
        <v>6</v>
      </c>
      <c r="B10" s="4" t="inlineStr">
        <is>
          <t>Jan 04, 2027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</row>
    <row r="11">
      <c r="A11" s="4" t="n">
        <v>7</v>
      </c>
      <c r="B11" s="4" t="inlineStr">
        <is>
          <t>Jan 11, 2027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</row>
    <row r="12">
      <c r="A12" s="4" t="n">
        <v>8</v>
      </c>
      <c r="B12" s="4" t="inlineStr">
        <is>
          <t>Jan 18, 2027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</row>
    <row r="13">
      <c r="A13" s="4" t="n">
        <v>9</v>
      </c>
      <c r="B13" s="4" t="inlineStr">
        <is>
          <t>Jan 25, 2027</t>
        </is>
      </c>
      <c r="C13" s="4" t="inlineStr">
        <is>
          <t>W#3 promo</t>
        </is>
      </c>
      <c r="D13" s="4" t="inlineStr">
        <is>
          <t>Benchmark survey email</t>
        </is>
      </c>
      <c r="E13" s="4" t="inlineStr">
        <is>
          <t>ABM ads live</t>
        </is>
      </c>
      <c r="F13" s="4" t="inlineStr">
        <is>
          <t>10 account pages live</t>
        </is>
      </c>
      <c r="G13" s="4" t="inlineStr">
        <is>
          <t>Event page live</t>
        </is>
      </c>
      <c r="H13" s="4" t="inlineStr">
        <is>
          <t>Case study #1 published</t>
        </is>
      </c>
      <c r="I13" s="4" t="inlineStr">
        <is>
          <t>Monthly report</t>
        </is>
      </c>
    </row>
    <row r="14">
      <c r="A14" s="4" t="n">
        <v>10</v>
      </c>
      <c r="B14" s="4" t="inlineStr">
        <is>
          <t>Feb 01, 2027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</row>
    <row r="15">
      <c r="A15" s="4" t="n">
        <v>11</v>
      </c>
      <c r="B15" s="4" t="inlineStr">
        <is>
          <t>Feb 08, 2027</t>
        </is>
      </c>
      <c r="C15" s="4" t="inlineStr">
        <is>
          <t>W#3 live</t>
        </is>
      </c>
      <c r="D15" s="4" t="inlineStr">
        <is>
          <t>Survey reminder</t>
        </is>
      </c>
      <c r="E15" s="4" t="inlineStr">
        <is>
          <t>Account-named ads</t>
        </is>
      </c>
      <c r="F15" s="4" t="inlineStr">
        <is>
          <t>Case file mailers sent</t>
        </is>
      </c>
      <c r="G15" s="4" t="inlineStr">
        <is>
          <t>"See you at" ads</t>
        </is>
      </c>
      <c r="H15" s="4" t="inlineStr">
        <is>
          <t>Case #2 ask</t>
        </is>
      </c>
      <c r="I15" s="4" t="inlineStr">
        <is>
          <t>Weekly update</t>
        </is>
      </c>
    </row>
    <row r="16">
      <c r="A16" s="4" t="n">
        <v>12</v>
      </c>
      <c r="B16" s="4" t="inlineStr">
        <is>
          <t>Feb 15, 2027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</row>
    <row r="17">
      <c r="A17" s="4" t="n">
        <v>13</v>
      </c>
      <c r="B17" s="4" t="inlineStr">
        <is>
          <t>Feb 22, 2027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</row>
    <row r="18">
      <c r="A18" s="4" t="n">
        <v>14</v>
      </c>
      <c r="B18" s="4" t="inlineStr">
        <is>
          <t>Mar 01, 2027</t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</row>
    <row r="19">
      <c r="A19" s="4" t="n">
        <v>15</v>
      </c>
      <c r="B19" s="4" t="inlineStr">
        <is>
          <t>Mar 08, 2027</t>
        </is>
      </c>
      <c r="C19" s="4" t="inlineStr">
        <is>
          <t>W#4 teardown</t>
        </is>
      </c>
      <c r="D19" s="4" t="inlineStr">
        <is>
          <t>Event follow-up</t>
        </is>
      </c>
      <c r="E19" s="4" t="inlineStr">
        <is>
          <t>Event burst</t>
        </is>
      </c>
      <c r="F19" s="4" t="inlineStr">
        <is>
          <t>Dinner (Toronto)</t>
        </is>
      </c>
      <c r="G19" s="4" t="inlineStr">
        <is>
          <t>Event #1 live</t>
        </is>
      </c>
      <c r="H19" s="4" t="inlineStr">
        <is>
          <t>Interview #2</t>
        </is>
      </c>
      <c r="I19" s="4" t="inlineStr">
        <is>
          <t>Event report</t>
        </is>
      </c>
    </row>
    <row r="20">
      <c r="A20" s="4" t="n">
        <v>16</v>
      </c>
      <c r="B20" s="4" t="inlineStr">
        <is>
          <t>Mar 15, 2027</t>
        </is>
      </c>
      <c r="C20" s="4" t="inlineStr"/>
      <c r="D20" s="4" t="inlineStr"/>
      <c r="E20" s="4" t="inlineStr"/>
      <c r="F20" s="4" t="inlineStr"/>
      <c r="G20" s="4" t="inlineStr"/>
      <c r="H20" s="4" t="inlineStr"/>
      <c r="I20" s="4" t="inlineStr"/>
    </row>
    <row r="21">
      <c r="A21" s="4" t="n">
        <v>17</v>
      </c>
      <c r="B21" s="4" t="inlineStr">
        <is>
          <t>Mar 22, 2027</t>
        </is>
      </c>
      <c r="C21" s="4" t="inlineStr"/>
      <c r="D21" s="4" t="inlineStr"/>
      <c r="E21" s="4" t="inlineStr"/>
      <c r="F21" s="4" t="inlineStr"/>
      <c r="G21" s="4" t="inlineStr"/>
      <c r="H21" s="4" t="inlineStr"/>
      <c r="I21" s="4" t="inlineStr"/>
    </row>
    <row r="22">
      <c r="A22" s="4" t="n">
        <v>18</v>
      </c>
      <c r="B22" s="4" t="inlineStr">
        <is>
          <t>Mar 29, 2027</t>
        </is>
      </c>
      <c r="C22" s="4" t="inlineStr"/>
      <c r="D22" s="4" t="inlineStr"/>
      <c r="E22" s="4" t="inlineStr"/>
      <c r="F22" s="4" t="inlineStr"/>
      <c r="G22" s="4" t="inlineStr"/>
      <c r="H22" s="4" t="inlineStr"/>
      <c r="I22" s="4" t="inlineStr"/>
    </row>
    <row r="23">
      <c r="A23" s="4" t="n">
        <v>19</v>
      </c>
      <c r="B23" s="4" t="inlineStr">
        <is>
          <t>Apr 05, 2027</t>
        </is>
      </c>
      <c r="C23" s="4" t="inlineStr">
        <is>
          <t>Panel webinar</t>
        </is>
      </c>
      <c r="D23" s="4" t="inlineStr">
        <is>
          <t>Panel follow-up</t>
        </is>
      </c>
      <c r="E23" s="4" t="inlineStr">
        <is>
          <t>Budget shift</t>
        </is>
      </c>
      <c r="F23" s="4" t="inlineStr">
        <is>
          <t>Job-change play live</t>
        </is>
      </c>
      <c r="G23" s="4" t="inlineStr">
        <is>
          <t>Event #2 prep</t>
        </is>
      </c>
      <c r="H23" s="4" t="inlineStr">
        <is>
          <t>Case study #2 live</t>
        </is>
      </c>
      <c r="I23" s="4" t="inlineStr">
        <is>
          <t>Monthly report</t>
        </is>
      </c>
    </row>
    <row r="24">
      <c r="A24" s="4" t="n">
        <v>20</v>
      </c>
      <c r="B24" s="4" t="inlineStr">
        <is>
          <t>Apr 12, 2027</t>
        </is>
      </c>
      <c r="C24" s="4" t="inlineStr"/>
      <c r="D24" s="4" t="inlineStr"/>
      <c r="E24" s="4" t="inlineStr"/>
      <c r="F24" s="4" t="inlineStr"/>
      <c r="G24" s="4" t="inlineStr"/>
      <c r="H24" s="4" t="inlineStr"/>
      <c r="I24" s="4" t="inlineStr"/>
    </row>
    <row r="25">
      <c r="A25" s="4" t="n">
        <v>21</v>
      </c>
      <c r="B25" s="4" t="inlineStr">
        <is>
          <t>Apr 19, 2027</t>
        </is>
      </c>
      <c r="C25" s="4" t="inlineStr"/>
      <c r="D25" s="4" t="inlineStr"/>
      <c r="E25" s="4" t="inlineStr"/>
      <c r="F25" s="4" t="inlineStr"/>
      <c r="G25" s="4" t="inlineStr"/>
      <c r="H25" s="4" t="inlineStr"/>
      <c r="I25" s="4" t="inlineStr"/>
    </row>
    <row r="26">
      <c r="A26" s="4" t="n">
        <v>22</v>
      </c>
      <c r="B26" s="4" t="inlineStr">
        <is>
          <t>Apr 26, 2027</t>
        </is>
      </c>
      <c r="C26" s="4" t="inlineStr"/>
      <c r="D26" s="4" t="inlineStr"/>
      <c r="E26" s="4" t="inlineStr"/>
      <c r="F26" s="4" t="inlineStr"/>
      <c r="G26" s="4" t="inlineStr"/>
      <c r="H26" s="4" t="inlineStr"/>
      <c r="I26" s="4" t="inlineStr"/>
    </row>
    <row r="27">
      <c r="A27" s="4" t="n">
        <v>23</v>
      </c>
      <c r="B27" s="4" t="inlineStr">
        <is>
          <t>May 03, 2027</t>
        </is>
      </c>
      <c r="C27" s="4" t="inlineStr">
        <is>
          <t>W#6 benchmark results</t>
        </is>
      </c>
      <c r="D27" s="4" t="inlineStr">
        <is>
          <t>Report promotion</t>
        </is>
      </c>
      <c r="E27" s="4" t="inlineStr">
        <is>
          <t>Report ads</t>
        </is>
      </c>
      <c r="F27" s="4" t="inlineStr">
        <is>
          <t>ABM pilot review</t>
        </is>
      </c>
      <c r="G27" s="4" t="inlineStr">
        <is>
          <t>Event #2</t>
        </is>
      </c>
      <c r="H27" s="4" t="inlineStr">
        <is>
          <t>Interview #3</t>
        </is>
      </c>
      <c r="I27" s="4" t="inlineStr">
        <is>
          <t>H2 plan</t>
        </is>
      </c>
    </row>
    <row r="28">
      <c r="A28" s="4" t="n">
        <v>24</v>
      </c>
      <c r="B28" s="4" t="inlineStr">
        <is>
          <t>May 10, 2027</t>
        </is>
      </c>
      <c r="C28" s="4" t="inlineStr"/>
      <c r="D28" s="4" t="inlineStr"/>
      <c r="E28" s="4" t="inlineStr"/>
      <c r="F28" s="4" t="inlineStr"/>
      <c r="G28" s="4" t="inlineStr"/>
      <c r="H28" s="4" t="inlineStr"/>
      <c r="I28" s="4" t="inlineStr"/>
    </row>
    <row r="29">
      <c r="A29" s="4" t="n">
        <v>25</v>
      </c>
      <c r="B29" s="4" t="inlineStr">
        <is>
          <t>May 17, 2027</t>
        </is>
      </c>
      <c r="C29" s="4" t="inlineStr"/>
      <c r="D29" s="4" t="inlineStr"/>
      <c r="E29" s="4" t="inlineStr"/>
      <c r="F29" s="4" t="inlineStr"/>
      <c r="G29" s="4" t="inlineStr"/>
      <c r="H29" s="4" t="inlineStr"/>
      <c r="I29" s="4" t="inlineStr"/>
    </row>
    <row r="30">
      <c r="A30" s="4" t="n">
        <v>26</v>
      </c>
      <c r="B30" s="4" t="inlineStr">
        <is>
          <t>May 24, 2027</t>
        </is>
      </c>
      <c r="C30" s="4" t="inlineStr"/>
      <c r="D30" s="4" t="inlineStr"/>
      <c r="E30" s="4" t="inlineStr"/>
      <c r="F30" s="4" t="inlineStr"/>
      <c r="G30" s="4" t="inlineStr"/>
      <c r="H30" s="4" t="inlineStr"/>
      <c r="I30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7" customWidth="1" min="4" max="4"/>
    <col width="9" customWidth="1" min="5" max="5"/>
    <col width="11" customWidth="1" min="6" max="6"/>
    <col width="11" customWidth="1" min="7" max="7"/>
    <col width="13" customWidth="1" min="8" max="8"/>
    <col width="9" customWidth="1" min="9" max="9"/>
    <col width="10" customWidth="1" min="10" max="10"/>
    <col width="10" customWidth="1" min="11" max="11"/>
    <col width="9" customWidth="1" min="12" max="12"/>
    <col width="13" customWidth="1" min="13" max="13"/>
    <col width="12" customWidth="1" min="14" max="14"/>
    <col width="30" customWidth="1" min="15" max="15"/>
  </cols>
  <sheetData>
    <row r="1">
      <c r="A1" s="1" t="inlineStr">
        <is>
          <t>ABM target accounts</t>
        </is>
      </c>
    </row>
    <row r="2">
      <c r="A2" s="2" t="inlineStr">
        <is>
          <t>SAMPLE accounts (not on Limina's public customer list). Tick signals with 1 or 0; score and status calculate.</t>
        </is>
      </c>
    </row>
    <row r="4" ht="30" customHeight="1">
      <c r="A4" s="3" t="inlineStr">
        <is>
          <t>Account</t>
        </is>
      </c>
      <c r="B4" s="3" t="inlineStr">
        <is>
          <t>Industry</t>
        </is>
      </c>
      <c r="C4" s="3" t="inlineStr">
        <is>
          <t>Country</t>
        </is>
      </c>
      <c r="D4" s="3" t="inlineStr">
        <is>
          <t>Tier</t>
        </is>
      </c>
      <c r="E4" s="3" t="inlineStr">
        <is>
          <t>Fit (20)</t>
        </is>
      </c>
      <c r="F4" s="3" t="inlineStr">
        <is>
          <t>AI program (15)</t>
        </is>
      </c>
      <c r="G4" s="3" t="inlineStr">
        <is>
          <t>2+ visitors (15)</t>
        </is>
      </c>
      <c r="H4" s="3" t="inlineStr">
        <is>
          <t>Pricing/security pages (15)</t>
        </is>
      </c>
      <c r="I4" s="3" t="inlineStr">
        <is>
          <t>Guide (10)</t>
        </is>
      </c>
      <c r="J4" s="3" t="inlineStr">
        <is>
          <t>Webinar (15)</t>
        </is>
      </c>
      <c r="K4" s="3" t="inlineStr">
        <is>
          <t>Ad click (10)</t>
        </is>
      </c>
      <c r="L4" s="3" t="inlineStr">
        <is>
          <t>Score</t>
        </is>
      </c>
      <c r="M4" s="3" t="inlineStr">
        <is>
          <t>Status</t>
        </is>
      </c>
      <c r="N4" s="3" t="inlineStr">
        <is>
          <t>Owner</t>
        </is>
      </c>
      <c r="O4" s="3" t="inlineStr">
        <is>
          <t>Next step</t>
        </is>
      </c>
    </row>
    <row r="5">
      <c r="A5" s="5" t="inlineStr">
        <is>
          <t>Manulife</t>
        </is>
      </c>
      <c r="B5" s="5" t="inlineStr">
        <is>
          <t>Insurance</t>
        </is>
      </c>
      <c r="C5" s="5" t="inlineStr">
        <is>
          <t>Canada</t>
        </is>
      </c>
      <c r="D5" s="5" t="n">
        <v>1</v>
      </c>
      <c r="E5" s="6" t="n">
        <v>1</v>
      </c>
      <c r="F5" s="6" t="n">
        <v>1</v>
      </c>
      <c r="G5" s="6" t="n">
        <v>1</v>
      </c>
      <c r="H5" s="6" t="n">
        <v>0</v>
      </c>
      <c r="I5" s="6" t="n">
        <v>1</v>
      </c>
      <c r="J5" s="6" t="n">
        <v>1</v>
      </c>
      <c r="K5" s="6" t="n">
        <v>0</v>
      </c>
      <c r="L5" s="5">
        <f>E5*20+F5*15+G5*15+H5*15+I5*10+J5*15+K5*10</f>
        <v/>
      </c>
      <c r="M5" s="5">
        <f>IF(L5&gt;=60,"HOT: MDR this week",IF(L5&gt;=35,"ENGAGED: warm up","AWARE: keep showing up"))</f>
        <v/>
      </c>
      <c r="N5" s="5" t="inlineStr">
        <is>
          <t>MDR</t>
        </is>
      </c>
      <c r="O5" s="5" t="inlineStr">
        <is>
          <t>Account page + case file</t>
        </is>
      </c>
    </row>
    <row r="6">
      <c r="A6" s="5" t="inlineStr">
        <is>
          <t>Scotiabank</t>
        </is>
      </c>
      <c r="B6" s="5" t="inlineStr">
        <is>
          <t>Banking</t>
        </is>
      </c>
      <c r="C6" s="5" t="inlineStr">
        <is>
          <t>Canada</t>
        </is>
      </c>
      <c r="D6" s="5" t="n">
        <v>1</v>
      </c>
      <c r="E6" s="6" t="n">
        <v>1</v>
      </c>
      <c r="F6" s="6" t="n">
        <v>1</v>
      </c>
      <c r="G6" s="6" t="n">
        <v>0</v>
      </c>
      <c r="H6" s="6" t="n">
        <v>1</v>
      </c>
      <c r="I6" s="6" t="n">
        <v>0</v>
      </c>
      <c r="J6" s="6" t="n">
        <v>0</v>
      </c>
      <c r="K6" s="6" t="n">
        <v>0</v>
      </c>
      <c r="L6" s="5">
        <f>E6*20+F6*15+G6*15+H6*15+I6*10+J6*15+K6*10</f>
        <v/>
      </c>
      <c r="M6" s="5">
        <f>IF(L6&gt;=60,"HOT: MDR this week",IF(L6&gt;=35,"ENGAGED: warm up","AWARE: keep showing up"))</f>
        <v/>
      </c>
      <c r="N6" s="5" t="inlineStr">
        <is>
          <t>MDR</t>
        </is>
      </c>
      <c r="O6" s="5" t="inlineStr">
        <is>
          <t>Account page + case file</t>
        </is>
      </c>
    </row>
    <row r="7">
      <c r="A7" s="5" t="inlineStr">
        <is>
          <t>Sun Life</t>
        </is>
      </c>
      <c r="B7" s="5" t="inlineStr">
        <is>
          <t>Insurance</t>
        </is>
      </c>
      <c r="C7" s="5" t="inlineStr">
        <is>
          <t>Canada</t>
        </is>
      </c>
      <c r="D7" s="5" t="n">
        <v>1</v>
      </c>
      <c r="E7" s="6" t="n">
        <v>1</v>
      </c>
      <c r="F7" s="6" t="n">
        <v>1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1</v>
      </c>
      <c r="L7" s="5">
        <f>E7*20+F7*15+G7*15+H7*15+I7*10+J7*15+K7*10</f>
        <v/>
      </c>
      <c r="M7" s="5">
        <f>IF(L7&gt;=60,"HOT: MDR this week",IF(L7&gt;=35,"ENGAGED: warm up","AWARE: keep showing up"))</f>
        <v/>
      </c>
      <c r="N7" s="5" t="inlineStr">
        <is>
          <t>MDR</t>
        </is>
      </c>
      <c r="O7" s="5" t="inlineStr">
        <is>
          <t>Account page + case file</t>
        </is>
      </c>
    </row>
    <row r="8">
      <c r="A8" s="5" t="inlineStr">
        <is>
          <t>TD Bank</t>
        </is>
      </c>
      <c r="B8" s="5" t="inlineStr">
        <is>
          <t>Banking</t>
        </is>
      </c>
      <c r="C8" s="5" t="inlineStr">
        <is>
          <t>Canada</t>
        </is>
      </c>
      <c r="D8" s="5" t="n">
        <v>1</v>
      </c>
      <c r="E8" s="6" t="n">
        <v>1</v>
      </c>
      <c r="F8" s="6" t="n">
        <v>1</v>
      </c>
      <c r="G8" s="6" t="n">
        <v>0</v>
      </c>
      <c r="H8" s="6" t="n">
        <v>0</v>
      </c>
      <c r="I8" s="6" t="n">
        <v>0</v>
      </c>
      <c r="J8" s="6" t="n">
        <v>1</v>
      </c>
      <c r="K8" s="6" t="n">
        <v>1</v>
      </c>
      <c r="L8" s="5">
        <f>E8*20+F8*15+G8*15+H8*15+I8*10+J8*15+K8*10</f>
        <v/>
      </c>
      <c r="M8" s="5">
        <f>IF(L8&gt;=60,"HOT: MDR this week",IF(L8&gt;=35,"ENGAGED: warm up","AWARE: keep showing up"))</f>
        <v/>
      </c>
      <c r="N8" s="5" t="inlineStr">
        <is>
          <t>MDR</t>
        </is>
      </c>
      <c r="O8" s="5" t="inlineStr">
        <is>
          <t>Account page + case file</t>
        </is>
      </c>
    </row>
    <row r="9">
      <c r="A9" s="5" t="inlineStr">
        <is>
          <t>BMO</t>
        </is>
      </c>
      <c r="B9" s="5" t="inlineStr">
        <is>
          <t>Banking</t>
        </is>
      </c>
      <c r="C9" s="5" t="inlineStr">
        <is>
          <t>Canada</t>
        </is>
      </c>
      <c r="D9" s="5" t="n">
        <v>1</v>
      </c>
      <c r="E9" s="6" t="n">
        <v>1</v>
      </c>
      <c r="F9" s="6" t="n">
        <v>1</v>
      </c>
      <c r="G9" s="6" t="n">
        <v>0</v>
      </c>
      <c r="H9" s="6" t="n">
        <v>1</v>
      </c>
      <c r="I9" s="6" t="n">
        <v>0</v>
      </c>
      <c r="J9" s="6" t="n">
        <v>0</v>
      </c>
      <c r="K9" s="6" t="n">
        <v>0</v>
      </c>
      <c r="L9" s="5">
        <f>E9*20+F9*15+G9*15+H9*15+I9*10+J9*15+K9*10</f>
        <v/>
      </c>
      <c r="M9" s="5">
        <f>IF(L9&gt;=60,"HOT: MDR this week",IF(L9&gt;=35,"ENGAGED: warm up","AWARE: keep showing up"))</f>
        <v/>
      </c>
      <c r="N9" s="5" t="inlineStr">
        <is>
          <t>MDR</t>
        </is>
      </c>
      <c r="O9" s="5" t="inlineStr">
        <is>
          <t>Account page + case file</t>
        </is>
      </c>
    </row>
    <row r="10">
      <c r="A10" s="5" t="inlineStr">
        <is>
          <t>Desjardins</t>
        </is>
      </c>
      <c r="B10" s="5" t="inlineStr">
        <is>
          <t>Insurance / banking</t>
        </is>
      </c>
      <c r="C10" s="5" t="inlineStr">
        <is>
          <t>Canada</t>
        </is>
      </c>
      <c r="D10" s="5" t="n">
        <v>2</v>
      </c>
      <c r="E10" s="6" t="n">
        <v>1</v>
      </c>
      <c r="F10" s="6" t="n">
        <v>1</v>
      </c>
      <c r="G10" s="6" t="n">
        <v>1</v>
      </c>
      <c r="H10" s="6" t="n">
        <v>0</v>
      </c>
      <c r="I10" s="6" t="n">
        <v>0</v>
      </c>
      <c r="J10" s="6" t="n">
        <v>0</v>
      </c>
      <c r="K10" s="6" t="n">
        <v>0</v>
      </c>
      <c r="L10" s="5">
        <f>E10*20+F10*15+G10*15+H10*15+I10*10+J10*15+K10*10</f>
        <v/>
      </c>
      <c r="M10" s="5">
        <f>IF(L10&gt;=60,"HOT: MDR this week",IF(L10&gt;=35,"ENGAGED: warm up","AWARE: keep showing up"))</f>
        <v/>
      </c>
      <c r="N10" s="5" t="inlineStr">
        <is>
          <t>Durva</t>
        </is>
      </c>
      <c r="O10" s="5" t="inlineStr">
        <is>
          <t>Industry sequence</t>
        </is>
      </c>
    </row>
    <row r="11">
      <c r="A11" s="5" t="inlineStr">
        <is>
          <t>Great-West Lifeco</t>
        </is>
      </c>
      <c r="B11" s="5" t="inlineStr">
        <is>
          <t>Insurance</t>
        </is>
      </c>
      <c r="C11" s="5" t="inlineStr">
        <is>
          <t>Canada</t>
        </is>
      </c>
      <c r="D11" s="5" t="n">
        <v>2</v>
      </c>
      <c r="E11" s="6" t="n">
        <v>1</v>
      </c>
      <c r="F11" s="6" t="n">
        <v>1</v>
      </c>
      <c r="G11" s="6" t="n">
        <v>0</v>
      </c>
      <c r="H11" s="6" t="n">
        <v>0</v>
      </c>
      <c r="I11" s="6" t="n">
        <v>1</v>
      </c>
      <c r="J11" s="6" t="n">
        <v>0</v>
      </c>
      <c r="K11" s="6" t="n">
        <v>0</v>
      </c>
      <c r="L11" s="5">
        <f>E11*20+F11*15+G11*15+H11*15+I11*10+J11*15+K11*10</f>
        <v/>
      </c>
      <c r="M11" s="5">
        <f>IF(L11&gt;=60,"HOT: MDR this week",IF(L11&gt;=35,"ENGAGED: warm up","AWARE: keep showing up"))</f>
        <v/>
      </c>
      <c r="N11" s="5" t="inlineStr">
        <is>
          <t>Durva</t>
        </is>
      </c>
      <c r="O11" s="5" t="inlineStr">
        <is>
          <t>Industry sequence</t>
        </is>
      </c>
    </row>
    <row r="12">
      <c r="A12" s="5" t="inlineStr">
        <is>
          <t>CIBC</t>
        </is>
      </c>
      <c r="B12" s="5" t="inlineStr">
        <is>
          <t>Banking</t>
        </is>
      </c>
      <c r="C12" s="5" t="inlineStr">
        <is>
          <t>Canada</t>
        </is>
      </c>
      <c r="D12" s="5" t="n">
        <v>2</v>
      </c>
      <c r="E12" s="6" t="n">
        <v>1</v>
      </c>
      <c r="F12" s="6" t="n">
        <v>1</v>
      </c>
      <c r="G12" s="6" t="n">
        <v>0</v>
      </c>
      <c r="H12" s="6" t="n">
        <v>1</v>
      </c>
      <c r="I12" s="6" t="n">
        <v>1</v>
      </c>
      <c r="J12" s="6" t="n">
        <v>1</v>
      </c>
      <c r="K12" s="6" t="n">
        <v>0</v>
      </c>
      <c r="L12" s="5">
        <f>E12*20+F12*15+G12*15+H12*15+I12*10+J12*15+K12*10</f>
        <v/>
      </c>
      <c r="M12" s="5">
        <f>IF(L12&gt;=60,"HOT: MDR this week",IF(L12&gt;=35,"ENGAGED: warm up","AWARE: keep showing up"))</f>
        <v/>
      </c>
      <c r="N12" s="5" t="inlineStr">
        <is>
          <t>Durva</t>
        </is>
      </c>
      <c r="O12" s="5" t="inlineStr">
        <is>
          <t>Industry sequence</t>
        </is>
      </c>
    </row>
    <row r="13">
      <c r="A13" s="5" t="inlineStr">
        <is>
          <t>National Bank</t>
        </is>
      </c>
      <c r="B13" s="5" t="inlineStr">
        <is>
          <t>Banking</t>
        </is>
      </c>
      <c r="C13" s="5" t="inlineStr">
        <is>
          <t>Canada</t>
        </is>
      </c>
      <c r="D13" s="5" t="n">
        <v>2</v>
      </c>
      <c r="E13" s="6" t="n">
        <v>1</v>
      </c>
      <c r="F13" s="6" t="n">
        <v>1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5">
        <f>E13*20+F13*15+G13*15+H13*15+I13*10+J13*15+K13*10</f>
        <v/>
      </c>
      <c r="M13" s="5">
        <f>IF(L13&gt;=60,"HOT: MDR this week",IF(L13&gt;=35,"ENGAGED: warm up","AWARE: keep showing up"))</f>
        <v/>
      </c>
      <c r="N13" s="5" t="inlineStr">
        <is>
          <t>Durva</t>
        </is>
      </c>
      <c r="O13" s="5" t="inlineStr">
        <is>
          <t>Industry sequence</t>
        </is>
      </c>
    </row>
    <row r="14">
      <c r="A14" s="5" t="inlineStr">
        <is>
          <t>Aviva Canada</t>
        </is>
      </c>
      <c r="B14" s="5" t="inlineStr">
        <is>
          <t>Insurance</t>
        </is>
      </c>
      <c r="C14" s="5" t="inlineStr">
        <is>
          <t>Canada</t>
        </is>
      </c>
      <c r="D14" s="5" t="n">
        <v>2</v>
      </c>
      <c r="E14" s="6" t="n">
        <v>1</v>
      </c>
      <c r="F14" s="6" t="n">
        <v>1</v>
      </c>
      <c r="G14" s="6" t="n">
        <v>0</v>
      </c>
      <c r="H14" s="6" t="n">
        <v>1</v>
      </c>
      <c r="I14" s="6" t="n">
        <v>0</v>
      </c>
      <c r="J14" s="6" t="n">
        <v>1</v>
      </c>
      <c r="K14" s="6" t="n">
        <v>0</v>
      </c>
      <c r="L14" s="5">
        <f>E14*20+F14*15+G14*15+H14*15+I14*10+J14*15+K14*10</f>
        <v/>
      </c>
      <c r="M14" s="5">
        <f>IF(L14&gt;=60,"HOT: MDR this week",IF(L14&gt;=35,"ENGAGED: warm up","AWARE: keep showing up"))</f>
        <v/>
      </c>
      <c r="N14" s="5" t="inlineStr">
        <is>
          <t>Durva</t>
        </is>
      </c>
      <c r="O14" s="5" t="inlineStr">
        <is>
          <t>Industry sequence</t>
        </is>
      </c>
    </row>
    <row r="15">
      <c r="A15" s="5" t="inlineStr">
        <is>
          <t>Mount Sinai Health System</t>
        </is>
      </c>
      <c r="B15" s="5" t="inlineStr">
        <is>
          <t>Healthcare</t>
        </is>
      </c>
      <c r="C15" s="5" t="inlineStr">
        <is>
          <t>US</t>
        </is>
      </c>
      <c r="D15" s="5" t="n">
        <v>2</v>
      </c>
      <c r="E15" s="6" t="n">
        <v>1</v>
      </c>
      <c r="F15" s="6" t="n">
        <v>1</v>
      </c>
      <c r="G15" s="6" t="n">
        <v>0</v>
      </c>
      <c r="H15" s="6" t="n">
        <v>1</v>
      </c>
      <c r="I15" s="6" t="n">
        <v>0</v>
      </c>
      <c r="J15" s="6" t="n">
        <v>0</v>
      </c>
      <c r="K15" s="6" t="n">
        <v>0</v>
      </c>
      <c r="L15" s="5">
        <f>E15*20+F15*15+G15*15+H15*15+I15*10+J15*15+K15*10</f>
        <v/>
      </c>
      <c r="M15" s="5">
        <f>IF(L15&gt;=60,"HOT: MDR this week",IF(L15&gt;=35,"ENGAGED: warm up","AWARE: keep showing up"))</f>
        <v/>
      </c>
      <c r="N15" s="5" t="inlineStr">
        <is>
          <t>Durva</t>
        </is>
      </c>
      <c r="O15" s="5" t="inlineStr">
        <is>
          <t>Industry sequence</t>
        </is>
      </c>
    </row>
    <row r="16">
      <c r="A16" s="5" t="inlineStr">
        <is>
          <t>Northwell Health</t>
        </is>
      </c>
      <c r="B16" s="5" t="inlineStr">
        <is>
          <t>Healthcare</t>
        </is>
      </c>
      <c r="C16" s="5" t="inlineStr">
        <is>
          <t>US</t>
        </is>
      </c>
      <c r="D16" s="5" t="n">
        <v>2</v>
      </c>
      <c r="E16" s="6" t="n">
        <v>1</v>
      </c>
      <c r="F16" s="6" t="n">
        <v>1</v>
      </c>
      <c r="G16" s="6" t="n">
        <v>1</v>
      </c>
      <c r="H16" s="6" t="n">
        <v>0</v>
      </c>
      <c r="I16" s="6" t="n">
        <v>1</v>
      </c>
      <c r="J16" s="6" t="n">
        <v>1</v>
      </c>
      <c r="K16" s="6" t="n">
        <v>0</v>
      </c>
      <c r="L16" s="5">
        <f>E16*20+F16*15+G16*15+H16*15+I16*10+J16*15+K16*10</f>
        <v/>
      </c>
      <c r="M16" s="5">
        <f>IF(L16&gt;=60,"HOT: MDR this week",IF(L16&gt;=35,"ENGAGED: warm up","AWARE: keep showing up"))</f>
        <v/>
      </c>
      <c r="N16" s="5" t="inlineStr">
        <is>
          <t>Durva</t>
        </is>
      </c>
      <c r="O16" s="5" t="inlineStr">
        <is>
          <t>Industry sequence</t>
        </is>
      </c>
    </row>
    <row r="17">
      <c r="A17" s="5" t="inlineStr">
        <is>
          <t>Prudential Financial</t>
        </is>
      </c>
      <c r="B17" s="5" t="inlineStr">
        <is>
          <t>Insurance</t>
        </is>
      </c>
      <c r="C17" s="5" t="inlineStr">
        <is>
          <t>US</t>
        </is>
      </c>
      <c r="D17" s="5" t="n">
        <v>3</v>
      </c>
      <c r="E17" s="6" t="n">
        <v>1</v>
      </c>
      <c r="F17" s="6" t="n">
        <v>1</v>
      </c>
      <c r="G17" s="6" t="n">
        <v>1</v>
      </c>
      <c r="H17" s="6" t="n">
        <v>0</v>
      </c>
      <c r="I17" s="6" t="n">
        <v>0</v>
      </c>
      <c r="J17" s="6" t="n">
        <v>0</v>
      </c>
      <c r="K17" s="6" t="n">
        <v>0</v>
      </c>
      <c r="L17" s="5">
        <f>E17*20+F17*15+G17*15+H17*15+I17*10+J17*15+K17*10</f>
        <v/>
      </c>
      <c r="M17" s="5">
        <f>IF(L17&gt;=60,"HOT: MDR this week",IF(L17&gt;=35,"ENGAGED: warm up","AWARE: keep showing up"))</f>
        <v/>
      </c>
      <c r="N17" s="5" t="inlineStr">
        <is>
          <t>Durva</t>
        </is>
      </c>
      <c r="O17" s="5" t="inlineStr">
        <is>
          <t>Webinar invites</t>
        </is>
      </c>
    </row>
    <row r="18">
      <c r="A18" s="5" t="inlineStr">
        <is>
          <t>Capital One</t>
        </is>
      </c>
      <c r="B18" s="5" t="inlineStr">
        <is>
          <t>Banking</t>
        </is>
      </c>
      <c r="C18" s="5" t="inlineStr">
        <is>
          <t>US</t>
        </is>
      </c>
      <c r="D18" s="5" t="n">
        <v>3</v>
      </c>
      <c r="E18" s="6" t="n">
        <v>1</v>
      </c>
      <c r="F18" s="6" t="n">
        <v>0</v>
      </c>
      <c r="G18" s="6" t="n">
        <v>0</v>
      </c>
      <c r="H18" s="6" t="n">
        <v>1</v>
      </c>
      <c r="I18" s="6" t="n">
        <v>1</v>
      </c>
      <c r="J18" s="6" t="n">
        <v>1</v>
      </c>
      <c r="K18" s="6" t="n">
        <v>0</v>
      </c>
      <c r="L18" s="5">
        <f>E18*20+F18*15+G18*15+H18*15+I18*10+J18*15+K18*10</f>
        <v/>
      </c>
      <c r="M18" s="5">
        <f>IF(L18&gt;=60,"HOT: MDR this week",IF(L18&gt;=35,"ENGAGED: warm up","AWARE: keep showing up"))</f>
        <v/>
      </c>
      <c r="N18" s="5" t="inlineStr">
        <is>
          <t>Durva</t>
        </is>
      </c>
      <c r="O18" s="5" t="inlineStr">
        <is>
          <t>Webinar invites</t>
        </is>
      </c>
    </row>
    <row r="19">
      <c r="A19" s="5" t="inlineStr">
        <is>
          <t>Pfizer</t>
        </is>
      </c>
      <c r="B19" s="5" t="inlineStr">
        <is>
          <t>Pharma</t>
        </is>
      </c>
      <c r="C19" s="5" t="inlineStr">
        <is>
          <t>US</t>
        </is>
      </c>
      <c r="D19" s="5" t="n">
        <v>3</v>
      </c>
      <c r="E19" s="6" t="n">
        <v>1</v>
      </c>
      <c r="F19" s="6" t="n">
        <v>1</v>
      </c>
      <c r="G19" s="6" t="n">
        <v>1</v>
      </c>
      <c r="H19" s="6" t="n">
        <v>1</v>
      </c>
      <c r="I19" s="6" t="n">
        <v>1</v>
      </c>
      <c r="J19" s="6" t="n">
        <v>0</v>
      </c>
      <c r="K19" s="6" t="n">
        <v>0</v>
      </c>
      <c r="L19" s="5">
        <f>E19*20+F19*15+G19*15+H19*15+I19*10+J19*15+K19*10</f>
        <v/>
      </c>
      <c r="M19" s="5">
        <f>IF(L19&gt;=60,"HOT: MDR this week",IF(L19&gt;=35,"ENGAGED: warm up","AWARE: keep showing up"))</f>
        <v/>
      </c>
      <c r="N19" s="5" t="inlineStr">
        <is>
          <t>Durva</t>
        </is>
      </c>
      <c r="O19" s="5" t="inlineStr">
        <is>
          <t>Webinar invites</t>
        </is>
      </c>
    </row>
  </sheetData>
  <conditionalFormatting sqref="L5:L19">
    <cfRule type="colorScale" priority="1">
      <colorScale>
        <cfvo type="num" val="0"/>
        <cfvo type="num" val="100"/>
        <color rgb="00EEF1F6"/>
        <color rgb="008FB4FF"/>
      </colorScale>
    </cfRule>
  </conditionalFormatting>
  <dataValidations count="1">
    <dataValidation sqref="E5:K19" showDropDown="0" showInputMessage="0" showErrorMessage="0" allowBlank="0" type="whole" operator="between">
      <formula1>0</formula1>
      <formula2>1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9" customWidth="1" min="2" max="2"/>
    <col width="22" customWidth="1" min="3" max="3"/>
    <col width="30" customWidth="1" min="4" max="4"/>
  </cols>
  <sheetData>
    <row r="1">
      <c r="A1" s="1" t="inlineStr">
        <is>
          <t>Account score</t>
        </is>
      </c>
    </row>
    <row r="2">
      <c r="A2" s="2" t="inlineStr">
        <is>
          <t>Score out of 100. 60+ = hot (MDR this week). 35 to 59 = engaged. Under 35 = aware.</t>
        </is>
      </c>
    </row>
    <row r="4" ht="30" customHeight="1">
      <c r="A4" s="3" t="inlineStr">
        <is>
          <t>Signal</t>
        </is>
      </c>
      <c r="B4" s="3" t="inlineStr">
        <is>
          <t>Points</t>
        </is>
      </c>
      <c r="C4" s="3" t="inlineStr">
        <is>
          <t>Source</t>
        </is>
      </c>
      <c r="D4" s="3" t="inlineStr">
        <is>
          <t>Why it matters</t>
        </is>
      </c>
    </row>
    <row r="5">
      <c r="A5" s="4" t="inlineStr">
        <is>
          <t>Fits ideal account (industry + 1,000+ staff)</t>
        </is>
      </c>
      <c r="B5" s="4" t="n">
        <v>20</v>
      </c>
      <c r="C5" s="4" t="inlineStr">
        <is>
          <t>Firmographics</t>
        </is>
      </c>
      <c r="D5" s="4" t="inlineStr">
        <is>
          <t>Right kind of company</t>
        </is>
      </c>
    </row>
    <row r="6">
      <c r="A6" s="4" t="inlineStr">
        <is>
          <t>Active AI program or hiring AI roles</t>
        </is>
      </c>
      <c r="B6" s="4" t="n">
        <v>15</v>
      </c>
      <c r="C6" s="4" t="inlineStr">
        <is>
          <t>News, LinkedIn jobs</t>
        </is>
      </c>
      <c r="D6" s="4" t="inlineStr">
        <is>
          <t>They have the problem now</t>
        </is>
      </c>
    </row>
    <row r="7">
      <c r="A7" s="4" t="inlineStr">
        <is>
          <t>2+ people visited the site this month</t>
        </is>
      </c>
      <c r="B7" s="4" t="n">
        <v>15</v>
      </c>
      <c r="C7" s="4" t="inlineStr">
        <is>
          <t>HubSpot / reverse IP</t>
        </is>
      </c>
      <c r="D7" s="4" t="inlineStr">
        <is>
          <t>A buying group is forming</t>
        </is>
      </c>
    </row>
    <row r="8">
      <c r="A8" s="4" t="inlineStr">
        <is>
          <t>Visited pricing or security pages</t>
        </is>
      </c>
      <c r="B8" s="4" t="n">
        <v>15</v>
      </c>
      <c r="C8" s="4" t="inlineStr">
        <is>
          <t>HubSpot</t>
        </is>
      </c>
      <c r="D8" s="4" t="inlineStr">
        <is>
          <t>Late-stage interest</t>
        </is>
      </c>
    </row>
    <row r="9">
      <c r="A9" s="4" t="inlineStr">
        <is>
          <t>Downloaded a guide</t>
        </is>
      </c>
      <c r="B9" s="4" t="n">
        <v>10</v>
      </c>
      <c r="C9" s="4" t="inlineStr">
        <is>
          <t>HubSpot form</t>
        </is>
      </c>
      <c r="D9" s="4" t="inlineStr">
        <is>
          <t>Learning about the topic</t>
        </is>
      </c>
    </row>
    <row r="10">
      <c r="A10" s="4" t="inlineStr">
        <is>
          <t>Attended a webinar</t>
        </is>
      </c>
      <c r="B10" s="4" t="n">
        <v>15</v>
      </c>
      <c r="C10" s="4" t="inlineStr">
        <is>
          <t>Webinar platform</t>
        </is>
      </c>
      <c r="D10" s="4" t="inlineStr">
        <is>
          <t>High intent, gave time</t>
        </is>
      </c>
    </row>
    <row r="11">
      <c r="A11" s="4" t="inlineStr">
        <is>
          <t>Clicked an account-named ad</t>
        </is>
      </c>
      <c r="B11" s="4" t="n">
        <v>10</v>
      </c>
      <c r="C11" s="4" t="inlineStr">
        <is>
          <t>LinkedIn</t>
        </is>
      </c>
      <c r="D11" s="4" t="inlineStr">
        <is>
          <t>Responding to ABM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8" customWidth="1" min="3" max="3"/>
    <col width="46" customWidth="1" min="4" max="4"/>
    <col width="24" customWidth="1" min="5" max="5"/>
  </cols>
  <sheetData>
    <row r="1">
      <c r="A1" s="1" t="inlineStr">
        <is>
          <t>Buying group and message</t>
        </is>
      </c>
    </row>
    <row r="2">
      <c r="A2" s="2" t="inlineStr">
        <is>
          <t>Facts from getlimina.ai.</t>
        </is>
      </c>
    </row>
    <row r="4" ht="30" customHeight="1">
      <c r="A4" s="3" t="inlineStr">
        <is>
          <t>Persona</t>
        </is>
      </c>
      <c r="B4" s="3" t="inlineStr">
        <is>
          <t>Cares about</t>
        </is>
      </c>
      <c r="C4" s="3" t="inlineStr">
        <is>
          <t>Main message</t>
        </is>
      </c>
      <c r="D4" s="3" t="inlineStr">
        <is>
          <t>Proof</t>
        </is>
      </c>
      <c r="E4" s="3" t="inlineStr">
        <is>
          <t>Best channel</t>
        </is>
      </c>
    </row>
    <row r="5">
      <c r="A5" s="4" t="inlineStr">
        <is>
          <t>CPO / DPO</t>
        </is>
      </c>
      <c r="B5" s="4" t="inlineStr">
        <is>
          <t>Audit, regulators, risk</t>
        </is>
      </c>
      <c r="C5" s="4" t="inlineStr">
        <is>
          <t>Audit-ready outputs for HIPAA, GDPR, CPRA, PCI-DSS</t>
        </is>
      </c>
      <c r="D5" s="4" t="inlineStr">
        <is>
          <t>Expert determination support</t>
        </is>
      </c>
      <c r="E5" s="4" t="inlineStr">
        <is>
          <t>Webinars, guides, dinners</t>
        </is>
      </c>
    </row>
    <row r="6">
      <c r="A6" s="4" t="inlineStr">
        <is>
          <t>CISO</t>
        </is>
      </c>
      <c r="B6" s="4" t="inlineStr">
        <is>
          <t>Where data goes</t>
        </is>
      </c>
      <c r="C6" s="4" t="inlineStr">
        <is>
          <t>Runs in your VPC or on-prem, no third-party processing</t>
        </is>
      </c>
      <c r="D6" s="4" t="inlineStr">
        <is>
          <t>Deployment + security pack</t>
        </is>
      </c>
      <c r="E6" s="4" t="inlineStr">
        <is>
          <t>Security FAQ, MDR call</t>
        </is>
      </c>
    </row>
    <row r="7">
      <c r="A7" s="4" t="inlineStr">
        <is>
          <t>Head of Data / AI</t>
        </is>
      </c>
      <c r="B7" s="4" t="inlineStr">
        <is>
          <t>Speed, data quality</t>
        </is>
      </c>
      <c r="C7" s="4" t="inlineStr">
        <is>
          <t>Use your best data in AI, still useful after de-identification</t>
        </is>
      </c>
      <c r="D7" s="4" t="inlineStr">
        <is>
          <t>50+ entity types, 52 languages; 48 hrs to minutes (Boehringer Ingelheim)</t>
        </is>
      </c>
      <c r="E7" s="4" t="inlineStr">
        <is>
          <t>Product tour, LinkedIn</t>
        </is>
      </c>
    </row>
    <row r="8">
      <c r="A8" s="4" t="inlineStr">
        <is>
          <t>Procurement / CFO</t>
        </is>
      </c>
      <c r="B8" s="4" t="inlineStr">
        <is>
          <t>Cost, effort</t>
        </is>
      </c>
      <c r="C8" s="4" t="inlineStr">
        <is>
          <t>Stop maintaining DIY scripts; running in days</t>
        </is>
      </c>
      <c r="D8" s="4" t="inlineStr">
        <is>
          <t>Customer stories</t>
        </is>
      </c>
      <c r="E8" s="4" t="inlineStr">
        <is>
          <t>AE, one-pagers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2" customWidth="1" min="3" max="3"/>
    <col width="26" customWidth="1" min="4" max="4"/>
    <col width="24" customWidth="1" min="5" max="5"/>
    <col width="12" customWidth="1" min="6" max="6"/>
  </cols>
  <sheetData>
    <row r="1">
      <c r="A1" s="1" t="inlineStr">
        <is>
          <t>ABM plays by stage and tier</t>
        </is>
      </c>
    </row>
    <row r="2">
      <c r="A2" s="2" t="inlineStr">
        <is>
          <t>Owner: who does it.</t>
        </is>
      </c>
    </row>
    <row r="4" ht="30" customHeight="1">
      <c r="A4" s="3" t="inlineStr">
        <is>
          <t>Stage</t>
        </is>
      </c>
      <c r="B4" s="3" t="inlineStr">
        <is>
          <t>Signal</t>
        </is>
      </c>
      <c r="C4" s="3" t="inlineStr">
        <is>
          <t>Tier 1 (1:1)</t>
        </is>
      </c>
      <c r="D4" s="3" t="inlineStr">
        <is>
          <t>Tier 2 (1:few)</t>
        </is>
      </c>
      <c r="E4" s="3" t="inlineStr">
        <is>
          <t>Tier 3 (1:many)</t>
        </is>
      </c>
      <c r="F4" s="3" t="inlineStr">
        <is>
          <t>Owner</t>
        </is>
      </c>
    </row>
    <row r="5">
      <c r="A5" s="4" t="inlineStr">
        <is>
          <t>Target</t>
        </is>
      </c>
      <c r="B5" s="4" t="inlineStr">
        <is>
          <t>Fits ideal account</t>
        </is>
      </c>
      <c r="C5" s="4" t="inlineStr">
        <is>
          <t>Account brief + personal page</t>
        </is>
      </c>
      <c r="D5" s="4" t="inlineStr">
        <is>
          <t>Industry page</t>
        </is>
      </c>
      <c r="E5" s="4" t="inlineStr">
        <is>
          <t>Webinar list</t>
        </is>
      </c>
      <c r="F5" s="4" t="inlineStr">
        <is>
          <t>Durva</t>
        </is>
      </c>
    </row>
    <row r="6">
      <c r="A6" s="4" t="inlineStr">
        <is>
          <t>Aware</t>
        </is>
      </c>
      <c r="B6" s="4" t="inlineStr">
        <is>
          <t>Ad impressions, visits</t>
        </is>
      </c>
      <c r="C6" s="4" t="inlineStr">
        <is>
          <t>Account-named ads</t>
        </is>
      </c>
      <c r="D6" s="4" t="inlineStr">
        <is>
          <t>Industry ads</t>
        </is>
      </c>
      <c r="E6" s="4" t="inlineStr">
        <is>
          <t>Persona ads</t>
        </is>
      </c>
      <c r="F6" s="4" t="inlineStr">
        <is>
          <t>Durva</t>
        </is>
      </c>
    </row>
    <row r="7">
      <c r="A7" s="4" t="inlineStr">
        <is>
          <t>Engaged</t>
        </is>
      </c>
      <c r="B7" s="4" t="inlineStr">
        <is>
          <t>2+ visitors, downloads</t>
        </is>
      </c>
      <c r="C7" s="4" t="inlineStr">
        <is>
          <t>Case file mailer</t>
        </is>
      </c>
      <c r="D7" s="4" t="inlineStr">
        <is>
          <t>Industry case study</t>
        </is>
      </c>
      <c r="E7" s="4" t="inlineStr">
        <is>
          <t>Nurture email</t>
        </is>
      </c>
      <c r="F7" s="4" t="inlineStr">
        <is>
          <t>Durva</t>
        </is>
      </c>
    </row>
    <row r="8">
      <c r="A8" s="4" t="inlineStr">
        <is>
          <t>Hot (60+)</t>
        </is>
      </c>
      <c r="B8" s="4" t="inlineStr">
        <is>
          <t>Pricing page, webinar, repeat visits</t>
        </is>
      </c>
      <c r="C8" s="4" t="inlineStr">
        <is>
          <t>MDR 1:1 + dinner invite</t>
        </is>
      </c>
      <c r="D8" s="4" t="inlineStr">
        <is>
          <t>MDR sequence</t>
        </is>
      </c>
      <c r="E8" s="4" t="inlineStr">
        <is>
          <t>Move up to tier 2</t>
        </is>
      </c>
      <c r="F8" s="4" t="inlineStr">
        <is>
          <t>MDR</t>
        </is>
      </c>
    </row>
    <row r="9">
      <c r="A9" s="4" t="inlineStr">
        <is>
          <t>Meeting</t>
        </is>
      </c>
      <c r="B9" s="4" t="inlineStr">
        <is>
          <t>Discovery booked</t>
        </is>
      </c>
      <c r="C9" s="4" t="inlineStr">
        <is>
          <t>AE + MDR call</t>
        </is>
      </c>
      <c r="D9" s="4" t="inlineStr">
        <is>
          <t>AE call</t>
        </is>
      </c>
      <c r="E9" s="4" t="inlineStr">
        <is>
          <t>AE call</t>
        </is>
      </c>
      <c r="F9" s="4" t="inlineStr">
        <is>
          <t>MDR to AE</t>
        </is>
      </c>
    </row>
    <row r="10">
      <c r="A10" s="4" t="inlineStr">
        <is>
          <t>Opportunity</t>
        </is>
      </c>
      <c r="B10" s="4" t="inlineStr">
        <is>
          <t>Use case + timeline confirmed</t>
        </is>
      </c>
      <c r="C10" s="4" t="inlineStr">
        <is>
          <t>Marketing keeps buying group warm with proof</t>
        </is>
      </c>
      <c r="D10" s="4" t="inlineStr">
        <is>
          <t>Same</t>
        </is>
      </c>
      <c r="E10" s="4" t="inlineStr">
        <is>
          <t>Same</t>
        </is>
      </c>
      <c r="F10" s="4" t="inlineStr">
        <is>
          <t>AE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30" customWidth="1" min="3" max="3"/>
    <col width="24" customWidth="1" min="4" max="4"/>
    <col width="22" customWidth="1" min="5" max="5"/>
    <col width="9" customWidth="1" min="6" max="6"/>
    <col width="12" customWidth="1" min="7" max="7"/>
  </cols>
  <sheetData>
    <row r="1">
      <c r="A1" s="1" t="inlineStr">
        <is>
          <t>LinkedIn ads plan</t>
        </is>
      </c>
    </row>
    <row r="2">
      <c r="A2" s="2" t="inlineStr">
        <is>
          <t>Enter the monthly budget in B3 (yellow). Splits calculate.</t>
        </is>
      </c>
    </row>
    <row r="3">
      <c r="A3" s="7" t="inlineStr">
        <is>
          <t>Monthly budget (CAD):</t>
        </is>
      </c>
      <c r="B3" s="8" t="n">
        <v>8000</v>
      </c>
    </row>
    <row r="4" ht="30" customHeight="1">
      <c r="A4" s="3" t="inlineStr">
        <is>
          <t>Campaign</t>
        </is>
      </c>
      <c r="B4" s="3" t="inlineStr">
        <is>
          <t>Audience</t>
        </is>
      </c>
      <c r="C4" s="3" t="inlineStr">
        <is>
          <t>Format</t>
        </is>
      </c>
      <c r="D4" s="3" t="inlineStr">
        <is>
          <t>Offer</t>
        </is>
      </c>
      <c r="E4" s="3" t="inlineStr">
        <is>
          <t>Goal</t>
        </is>
      </c>
      <c r="F4" s="3" t="inlineStr">
        <is>
          <t>Share</t>
        </is>
      </c>
      <c r="G4" s="3" t="inlineStr">
        <is>
          <t>Monthly $</t>
        </is>
      </c>
    </row>
    <row r="5">
      <c r="A5" s="4" t="inlineStr">
        <is>
          <t>Always-on awareness</t>
        </is>
      </c>
      <c r="B5" s="4" t="inlineStr">
        <is>
          <t>CPO, DPO, CISO, Head of AI · banks, insurers, health, pharma · 1,000+</t>
        </is>
      </c>
      <c r="C5" s="4" t="inlineStr">
        <is>
          <t>Thought leader ads, single image</t>
        </is>
      </c>
      <c r="D5" s="4" t="inlineStr">
        <is>
          <t>Point of view</t>
        </is>
      </c>
      <c r="E5" s="4" t="inlineStr">
        <is>
          <t>Reach buying group</t>
        </is>
      </c>
      <c r="F5" s="9" t="n">
        <v>0.25</v>
      </c>
      <c r="G5" s="10">
        <f>$B$3*F5</f>
        <v/>
      </c>
    </row>
    <row r="6">
      <c r="A6" s="4" t="inlineStr">
        <is>
          <t>Webinar + guide</t>
        </is>
      </c>
      <c r="B6" s="4" t="inlineStr">
        <is>
          <t>Same + website retargeting</t>
        </is>
      </c>
      <c r="C6" s="4" t="inlineStr">
        <is>
          <t>Lead gen forms, document ads</t>
        </is>
      </c>
      <c r="D6" s="4" t="inlineStr">
        <is>
          <t>Webinar seat, guide</t>
        </is>
      </c>
      <c r="E6" s="4" t="inlineStr">
        <is>
          <t>Leads + MQLs</t>
        </is>
      </c>
      <c r="F6" s="9" t="n">
        <v>0.4</v>
      </c>
      <c r="G6" s="10">
        <f>$B$3*F6</f>
        <v/>
      </c>
    </row>
    <row r="7">
      <c r="A7" s="4" t="inlineStr">
        <is>
          <t>ABM tier 1 + 2</t>
        </is>
      </c>
      <c r="B7" s="4" t="inlineStr">
        <is>
          <t>Matched account lists</t>
        </is>
      </c>
      <c r="C7" s="4" t="inlineStr">
        <is>
          <t>Account-named image, conversation ads</t>
        </is>
      </c>
      <c r="D7" s="4" t="inlineStr">
        <is>
          <t>Account page, data review</t>
        </is>
      </c>
      <c r="E7" s="4" t="inlineStr">
        <is>
          <t>Engaged accounts</t>
        </is>
      </c>
      <c r="F7" s="9" t="n">
        <v>0.25</v>
      </c>
      <c r="G7" s="10">
        <f>$B$3*F7</f>
        <v/>
      </c>
    </row>
    <row r="8">
      <c r="A8" s="4" t="inlineStr">
        <is>
          <t>Event bursts</t>
        </is>
      </c>
      <c r="B8" s="4" t="inlineStr">
        <is>
          <t>Event attendees + location</t>
        </is>
      </c>
      <c r="C8" s="4" t="inlineStr">
        <is>
          <t>"See you at…" image</t>
        </is>
      </c>
      <c r="D8" s="4" t="inlineStr">
        <is>
          <t>None</t>
        </is>
      </c>
      <c r="E8" s="4" t="inlineStr">
        <is>
          <t>Booth visits</t>
        </is>
      </c>
      <c r="F8" s="9" t="n">
        <v>0.1</v>
      </c>
      <c r="G8" s="10">
        <f>$B$3*F8</f>
        <v/>
      </c>
    </row>
    <row r="9">
      <c r="E9" s="7" t="inlineStr">
        <is>
          <t>Total</t>
        </is>
      </c>
      <c r="F9" s="11">
        <f>SUM(F5:F8)</f>
        <v/>
      </c>
      <c r="G9" s="12">
        <f>SUM(G5:G8)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0" customWidth="1" min="3" max="3"/>
    <col width="14" customWidth="1" min="4" max="4"/>
    <col width="30" customWidth="1" min="5" max="5"/>
    <col width="14" customWidth="1" min="6" max="6"/>
    <col width="14" customWidth="1" min="7" max="7"/>
    <col width="11" customWidth="1" min="8" max="8"/>
    <col width="8" customWidth="1" min="9" max="9"/>
  </cols>
  <sheetData>
    <row r="1">
      <c r="A1" s="1" t="inlineStr">
        <is>
          <t>Webinar program</t>
        </is>
      </c>
    </row>
    <row r="2">
      <c r="A2" s="2" t="inlineStr">
        <is>
          <t>Run sheet: T-28 page live · T-21 ads · T-14 MDR invites · T-7 reminder · T-1 reminder · T+1 recording + MDR calls.</t>
        </is>
      </c>
    </row>
    <row r="4" ht="30" customHeight="1">
      <c r="A4" s="3" t="inlineStr">
        <is>
          <t>#</t>
        </is>
      </c>
      <c r="B4" s="3" t="inlineStr">
        <is>
          <t>Month</t>
        </is>
      </c>
      <c r="C4" s="3" t="inlineStr">
        <is>
          <t>Topic</t>
        </is>
      </c>
      <c r="D4" s="3" t="inlineStr">
        <is>
          <t>Audience</t>
        </is>
      </c>
      <c r="E4" s="3" t="inlineStr">
        <is>
          <t>Speaker</t>
        </is>
      </c>
      <c r="F4" s="3" t="inlineStr">
        <is>
          <t>Registrations (target)</t>
        </is>
      </c>
      <c r="G4" s="3" t="inlineStr">
        <is>
          <t>Attended (target)</t>
        </is>
      </c>
      <c r="H4" s="3" t="inlineStr">
        <is>
          <t>Attend rate</t>
        </is>
      </c>
      <c r="I4" s="3" t="inlineStr">
        <is>
          <t>MQLs</t>
        </is>
      </c>
    </row>
    <row r="5">
      <c r="A5" s="4" t="n">
        <v>1</v>
      </c>
      <c r="B5" s="4" t="inlineStr">
        <is>
          <t>Dec</t>
        </is>
      </c>
      <c r="C5" s="4" t="inlineStr">
        <is>
          <t>Governing every prompt (RAG + agents)</t>
        </is>
      </c>
      <c r="D5" s="4" t="inlineStr">
        <is>
          <t>Privacy + AI</t>
        </is>
      </c>
      <c r="E5" s="4" t="inlineStr">
        <is>
          <t>Patricia Thaine + customer (invited)</t>
        </is>
      </c>
      <c r="F5" s="4" t="n">
        <v>150</v>
      </c>
      <c r="G5" s="4" t="n">
        <v>60</v>
      </c>
      <c r="H5" s="4">
        <f>G5/F5</f>
        <v/>
      </c>
      <c r="I5" s="4" t="inlineStr"/>
    </row>
    <row r="6">
      <c r="A6" s="4" t="n">
        <v>2</v>
      </c>
      <c r="B6" s="4" t="inlineStr">
        <is>
          <t>Jan</t>
        </is>
      </c>
      <c r="C6" s="4" t="inlineStr">
        <is>
          <t>Audit-ready AI for HIPAA and GDPR</t>
        </is>
      </c>
      <c r="D6" s="4" t="inlineStr">
        <is>
          <t>Privacy</t>
        </is>
      </c>
      <c r="E6" s="4" t="inlineStr">
        <is>
          <t>Limina expert</t>
        </is>
      </c>
      <c r="F6" s="4" t="n">
        <v>150</v>
      </c>
      <c r="G6" s="4" t="n">
        <v>60</v>
      </c>
      <c r="H6" s="4">
        <f>G6/F6</f>
        <v/>
      </c>
      <c r="I6" s="4" t="inlineStr"/>
    </row>
    <row r="7">
      <c r="A7" s="4" t="n">
        <v>3</v>
      </c>
      <c r="B7" s="4" t="inlineStr">
        <is>
          <t>Feb</t>
        </is>
      </c>
      <c r="C7" s="4" t="inlineStr">
        <is>
          <t>Using call-centre data in AI, safely</t>
        </is>
      </c>
      <c r="D7" s="4" t="inlineStr">
        <is>
          <t>Data + AI</t>
        </is>
      </c>
      <c r="E7" s="4" t="inlineStr">
        <is>
          <t>Limina expert + partner</t>
        </is>
      </c>
      <c r="F7" s="4" t="n">
        <v>150</v>
      </c>
      <c r="G7" s="4" t="n">
        <v>60</v>
      </c>
      <c r="H7" s="4">
        <f>G7/F7</f>
        <v/>
      </c>
      <c r="I7" s="4" t="inlineStr"/>
    </row>
    <row r="8">
      <c r="A8" s="4" t="n">
        <v>4</v>
      </c>
      <c r="B8" s="4" t="inlineStr">
        <is>
          <t>Mar</t>
        </is>
      </c>
      <c r="C8" s="4" t="inlineStr">
        <is>
          <t>Live teardown: where PII hides in documents</t>
        </is>
      </c>
      <c r="D8" s="4" t="inlineStr">
        <is>
          <t>Security + AI</t>
        </is>
      </c>
      <c r="E8" s="4" t="inlineStr">
        <is>
          <t>Limina product</t>
        </is>
      </c>
      <c r="F8" s="4" t="n">
        <v>150</v>
      </c>
      <c r="G8" s="4" t="n">
        <v>60</v>
      </c>
      <c r="H8" s="4">
        <f>G8/F8</f>
        <v/>
      </c>
      <c r="I8" s="4" t="inlineStr"/>
    </row>
    <row r="9">
      <c r="A9" s="4" t="n">
        <v>5</v>
      </c>
      <c r="B9" s="4" t="inlineStr">
        <is>
          <t>Apr</t>
        </is>
      </c>
      <c r="C9" s="4" t="inlineStr">
        <is>
          <t>Customer panel: financial services</t>
        </is>
      </c>
      <c r="D9" s="4" t="inlineStr">
        <is>
          <t>All</t>
        </is>
      </c>
      <c r="E9" s="4" t="inlineStr">
        <is>
          <t>Customers (invited)</t>
        </is>
      </c>
      <c r="F9" s="4" t="n">
        <v>200</v>
      </c>
      <c r="G9" s="4" t="n">
        <v>80</v>
      </c>
      <c r="H9" s="4">
        <f>G9/F9</f>
        <v/>
      </c>
      <c r="I9" s="4" t="inlineStr"/>
    </row>
    <row r="10">
      <c r="A10" s="4" t="n">
        <v>6</v>
      </c>
      <c r="B10" s="4" t="inlineStr">
        <is>
          <t>May</t>
        </is>
      </c>
      <c r="C10" s="4" t="inlineStr">
        <is>
          <t>AI governance benchmark results</t>
        </is>
      </c>
      <c r="D10" s="4" t="inlineStr">
        <is>
          <t>All</t>
        </is>
      </c>
      <c r="E10" s="4" t="inlineStr">
        <is>
          <t>Patricia Thaine</t>
        </is>
      </c>
      <c r="F10" s="4" t="n">
        <v>200</v>
      </c>
      <c r="G10" s="4" t="n">
        <v>80</v>
      </c>
      <c r="H10" s="4">
        <f>G10/F10</f>
        <v/>
      </c>
      <c r="I10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8" customWidth="1" min="3" max="3"/>
    <col width="8" customWidth="1" min="4" max="4"/>
  </cols>
  <sheetData>
    <row r="1">
      <c r="A1" s="1" t="inlineStr">
        <is>
          <t>Event playbook</t>
        </is>
      </c>
    </row>
    <row r="2">
      <c r="A2" s="2" t="inlineStr">
        <is>
          <t>For each event. Example events: IAPP Global Privacy Summit, RSAC (dates TBC).</t>
        </is>
      </c>
    </row>
    <row r="4" ht="30" customHeight="1">
      <c r="A4" s="3" t="inlineStr">
        <is>
          <t>When</t>
        </is>
      </c>
      <c r="B4" s="3" t="inlineStr">
        <is>
          <t>Task</t>
        </is>
      </c>
      <c r="C4" s="3" t="inlineStr">
        <is>
          <t>Owner</t>
        </is>
      </c>
      <c r="D4" s="3" t="inlineStr">
        <is>
          <t>Done?</t>
        </is>
      </c>
    </row>
    <row r="5">
      <c r="A5" s="4" t="inlineStr">
        <is>
          <t>T-60</t>
        </is>
      </c>
      <c r="B5" s="4" t="inlineStr">
        <is>
          <t>Pick 2 events with Tyler, submit speaking proposals</t>
        </is>
      </c>
      <c r="C5" s="4" t="inlineStr">
        <is>
          <t>Durva + Tyler</t>
        </is>
      </c>
      <c r="D5" s="4" t="inlineStr">
        <is>
          <t>No</t>
        </is>
      </c>
    </row>
    <row r="6">
      <c r="A6" s="4" t="inlineStr">
        <is>
          <t>T-60</t>
        </is>
      </c>
      <c r="B6" s="4" t="inlineStr">
        <is>
          <t>Build attendee target list (by tier)</t>
        </is>
      </c>
      <c r="C6" s="4" t="inlineStr">
        <is>
          <t>Durva</t>
        </is>
      </c>
      <c r="D6" s="4" t="inlineStr">
        <is>
          <t>No</t>
        </is>
      </c>
    </row>
    <row r="7">
      <c r="A7" s="4" t="inlineStr">
        <is>
          <t>T-30</t>
        </is>
      </c>
      <c r="B7" s="4" t="inlineStr">
        <is>
          <t>"See you at…" LinkedIn ads live (no CTA)</t>
        </is>
      </c>
      <c r="C7" s="4" t="inlineStr">
        <is>
          <t>Durva</t>
        </is>
      </c>
      <c r="D7" s="4" t="inlineStr">
        <is>
          <t>No</t>
        </is>
      </c>
    </row>
    <row r="8">
      <c r="A8" s="4" t="inlineStr">
        <is>
          <t>T-30</t>
        </is>
      </c>
      <c r="B8" s="4" t="inlineStr">
        <is>
          <t>Event page + meeting booking form</t>
        </is>
      </c>
      <c r="C8" s="4" t="inlineStr">
        <is>
          <t>Durva</t>
        </is>
      </c>
      <c r="D8" s="4" t="inlineStr">
        <is>
          <t>No</t>
        </is>
      </c>
    </row>
    <row r="9">
      <c r="A9" s="4" t="inlineStr">
        <is>
          <t>T-30</t>
        </is>
      </c>
      <c r="B9" s="4" t="inlineStr">
        <is>
          <t>MDR starts booking meetings</t>
        </is>
      </c>
      <c r="C9" s="4" t="inlineStr">
        <is>
          <t>MDR</t>
        </is>
      </c>
      <c r="D9" s="4" t="inlineStr">
        <is>
          <t>No</t>
        </is>
      </c>
    </row>
    <row r="10">
      <c r="A10" s="4" t="inlineStr">
        <is>
          <t>T-14</t>
        </is>
      </c>
      <c r="B10" s="4" t="inlineStr">
        <is>
          <t>Booth demo + 90-second talk track per persona</t>
        </is>
      </c>
      <c r="C10" s="4" t="inlineStr">
        <is>
          <t>Durva + product</t>
        </is>
      </c>
      <c r="D10" s="4" t="inlineStr">
        <is>
          <t>No</t>
        </is>
      </c>
    </row>
    <row r="11">
      <c r="A11" s="4" t="inlineStr">
        <is>
          <t>T-14</t>
        </is>
      </c>
      <c r="B11" s="4" t="inlineStr">
        <is>
          <t>Swag + [REDACTED] cookies ordered</t>
        </is>
      </c>
      <c r="C11" s="4" t="inlineStr">
        <is>
          <t>Durva</t>
        </is>
      </c>
      <c r="D11" s="4" t="inlineStr">
        <is>
          <t>No</t>
        </is>
      </c>
    </row>
    <row r="12">
      <c r="A12" s="4" t="inlineStr">
        <is>
          <t>T-14</t>
        </is>
      </c>
      <c r="B12" s="4" t="inlineStr">
        <is>
          <t>Booth briefing doc for everyone</t>
        </is>
      </c>
      <c r="C12" s="4" t="inlineStr">
        <is>
          <t>Durva</t>
        </is>
      </c>
      <c r="D12" s="4" t="inlineStr">
        <is>
          <t>No</t>
        </is>
      </c>
    </row>
    <row r="13">
      <c r="A13" s="4" t="inlineStr">
        <is>
          <t>Show</t>
        </is>
      </c>
      <c r="B13" s="4" t="inlineStr">
        <is>
          <t>Badge scans tagged by tier, live posts</t>
        </is>
      </c>
      <c r="C13" s="4" t="inlineStr">
        <is>
          <t>Durva + MDR</t>
        </is>
      </c>
      <c r="D13" s="4" t="inlineStr">
        <is>
          <t>No</t>
        </is>
      </c>
    </row>
    <row r="14">
      <c r="A14" s="4" t="inlineStr">
        <is>
          <t>Show</t>
        </is>
      </c>
      <c r="B14" s="4" t="inlineStr">
        <is>
          <t>Night-1 dinner for tier 1 guests</t>
        </is>
      </c>
      <c r="C14" s="4" t="inlineStr">
        <is>
          <t>Tyler + AE</t>
        </is>
      </c>
      <c r="D14" s="4" t="inlineStr">
        <is>
          <t>No</t>
        </is>
      </c>
    </row>
    <row r="15">
      <c r="A15" s="4" t="inlineStr">
        <is>
          <t>T+2</t>
        </is>
      </c>
      <c r="B15" s="4" t="inlineStr">
        <is>
          <t>Personal follow-up within 48 hrs</t>
        </is>
      </c>
      <c r="C15" s="4" t="inlineStr">
        <is>
          <t>MDR</t>
        </is>
      </c>
      <c r="D15" s="4" t="inlineStr">
        <is>
          <t>No</t>
        </is>
      </c>
    </row>
    <row r="16">
      <c r="A16" s="4" t="inlineStr">
        <is>
          <t>T+2</t>
        </is>
      </c>
      <c r="B16" s="4" t="inlineStr">
        <is>
          <t>Talk recording + slides to everyone scanned</t>
        </is>
      </c>
      <c r="C16" s="4" t="inlineStr">
        <is>
          <t>Durva</t>
        </is>
      </c>
      <c r="D16" s="4" t="inlineStr">
        <is>
          <t>No</t>
        </is>
      </c>
    </row>
    <row r="17">
      <c r="A17" s="4" t="inlineStr">
        <is>
          <t>T+14</t>
        </is>
      </c>
      <c r="B17" s="4" t="inlineStr">
        <is>
          <t>Report: meetings, pipeline, cost per meeting</t>
        </is>
      </c>
      <c r="C17" s="4" t="inlineStr">
        <is>
          <t>Durva</t>
        </is>
      </c>
      <c r="D17" s="4" t="inlineStr">
        <is>
          <t>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2" customWidth="1" min="4" max="4"/>
    <col width="14" customWidth="1" min="5" max="5"/>
    <col width="12" customWidth="1" min="6" max="6"/>
    <col width="11" customWidth="1" min="7" max="7"/>
    <col width="11" customWidth="1" min="8" max="8"/>
    <col width="26" customWidth="1" min="9" max="9"/>
  </cols>
  <sheetData>
    <row r="1">
      <c r="A1" s="1" t="inlineStr">
        <is>
          <t>Case study pipeline</t>
        </is>
      </c>
    </row>
    <row r="2">
      <c r="A2" s="2" t="inlineStr">
        <is>
          <t>Goal (sample): 1 per quarter minimum, 3 by month 6.</t>
        </is>
      </c>
    </row>
    <row r="4" ht="30" customHeight="1">
      <c r="A4" s="3" t="inlineStr">
        <is>
          <t>Customer</t>
        </is>
      </c>
      <c r="B4" s="3" t="inlineStr">
        <is>
          <t>Industry</t>
        </is>
      </c>
      <c r="C4" s="3" t="inlineStr">
        <is>
          <t>Source (CS/Sales)</t>
        </is>
      </c>
      <c r="D4" s="3" t="inlineStr">
        <is>
          <t>Stage</t>
        </is>
      </c>
      <c r="E4" s="3" t="inlineStr">
        <is>
          <t>Interview date</t>
        </is>
      </c>
      <c r="F4" s="3" t="inlineStr">
        <is>
          <t>Draft due</t>
        </is>
      </c>
      <c r="G4" s="3" t="inlineStr">
        <is>
          <t>Approved</t>
        </is>
      </c>
      <c r="H4" s="3" t="inlineStr">
        <is>
          <t>Published</t>
        </is>
      </c>
      <c r="I4" s="3" t="inlineStr">
        <is>
          <t>Assets made</t>
        </is>
      </c>
    </row>
    <row r="5">
      <c r="A5" s="4" t="inlineStr">
        <is>
          <t>Customer 1 (from CS list)</t>
        </is>
      </c>
      <c r="B5" s="4" t="inlineStr">
        <is>
          <t>Financial services</t>
        </is>
      </c>
      <c r="C5" s="4" t="inlineStr">
        <is>
          <t>CS</t>
        </is>
      </c>
      <c r="D5" s="4" t="inlineStr">
        <is>
          <t>Asked</t>
        </is>
      </c>
      <c r="E5" s="4" t="inlineStr"/>
      <c r="F5" s="4" t="inlineStr"/>
      <c r="G5" s="4" t="inlineStr"/>
      <c r="H5" s="4" t="inlineStr"/>
      <c r="I5" s="4" t="inlineStr"/>
    </row>
    <row r="6">
      <c r="A6" s="4" t="inlineStr">
        <is>
          <t>Customer 2</t>
        </is>
      </c>
      <c r="B6" s="4" t="inlineStr">
        <is>
          <t>Healthcare</t>
        </is>
      </c>
      <c r="C6" s="4" t="inlineStr">
        <is>
          <t>Sales</t>
        </is>
      </c>
      <c r="D6" s="4" t="inlineStr">
        <is>
          <t>Asked</t>
        </is>
      </c>
      <c r="E6" s="4" t="inlineStr"/>
      <c r="F6" s="4" t="inlineStr"/>
      <c r="G6" s="4" t="inlineStr"/>
      <c r="H6" s="4" t="inlineStr"/>
      <c r="I6" s="4" t="inlineStr"/>
    </row>
    <row r="7">
      <c r="A7" s="4" t="inlineStr">
        <is>
          <t>Customer 3</t>
        </is>
      </c>
      <c r="B7" s="4" t="inlineStr">
        <is>
          <t>Insurance</t>
        </is>
      </c>
      <c r="C7" s="4" t="inlineStr">
        <is>
          <t>CS</t>
        </is>
      </c>
      <c r="D7" s="4" t="inlineStr">
        <is>
          <t>Asked</t>
        </is>
      </c>
      <c r="E7" s="4" t="inlineStr"/>
      <c r="F7" s="4" t="inlineStr"/>
      <c r="G7" s="4" t="inlineStr"/>
      <c r="H7" s="4" t="inlineStr"/>
      <c r="I7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6" customWidth="1" min="3" max="3"/>
    <col width="12" customWidth="1" min="4" max="4"/>
    <col width="18" customWidth="1" min="5" max="5"/>
  </cols>
  <sheetData>
    <row r="1">
      <c r="A1" s="1" t="inlineStr">
        <is>
          <t>Rep-ready assets</t>
        </is>
      </c>
    </row>
    <row r="2">
      <c r="A2" s="2" t="inlineStr">
        <is>
          <t>Track if assets are used in deals.</t>
        </is>
      </c>
    </row>
    <row r="4" ht="30" customHeight="1">
      <c r="A4" s="3" t="inlineStr">
        <is>
          <t>Asset</t>
        </is>
      </c>
      <c r="B4" s="3" t="inlineStr">
        <is>
          <t>For</t>
        </is>
      </c>
      <c r="C4" s="3" t="inlineStr">
        <is>
          <t>Built from</t>
        </is>
      </c>
      <c r="D4" s="3" t="inlineStr">
        <is>
          <t>Status</t>
        </is>
      </c>
      <c r="E4" s="3" t="inlineStr">
        <is>
          <t>Times used in deals</t>
        </is>
      </c>
    </row>
    <row r="5">
      <c r="A5" s="4" t="inlineStr">
        <is>
          <t>Industry one-pager: banking</t>
        </is>
      </c>
      <c r="B5" s="4" t="inlineStr">
        <is>
          <t>MDR + AE</t>
        </is>
      </c>
      <c r="C5" s="4" t="inlineStr">
        <is>
          <t>Webinar + case study</t>
        </is>
      </c>
      <c r="D5" s="4" t="inlineStr">
        <is>
          <t>To do</t>
        </is>
      </c>
      <c r="E5" s="4" t="n">
        <v>0</v>
      </c>
    </row>
    <row r="6">
      <c r="A6" s="4" t="inlineStr">
        <is>
          <t>Industry one-pager: insurance</t>
        </is>
      </c>
      <c r="B6" s="4" t="inlineStr">
        <is>
          <t>MDR + AE</t>
        </is>
      </c>
      <c r="C6" s="4" t="inlineStr">
        <is>
          <t>Case study</t>
        </is>
      </c>
      <c r="D6" s="4" t="inlineStr">
        <is>
          <t>To do</t>
        </is>
      </c>
      <c r="E6" s="4" t="n">
        <v>0</v>
      </c>
    </row>
    <row r="7">
      <c r="A7" s="4" t="inlineStr">
        <is>
          <t>Industry one-pager: healthcare</t>
        </is>
      </c>
      <c r="B7" s="4" t="inlineStr">
        <is>
          <t>MDR + AE</t>
        </is>
      </c>
      <c r="C7" s="4" t="inlineStr">
        <is>
          <t>Providence Health proof</t>
        </is>
      </c>
      <c r="D7" s="4" t="inlineStr">
        <is>
          <t>To do</t>
        </is>
      </c>
      <c r="E7" s="4" t="n">
        <v>0</v>
      </c>
    </row>
    <row r="8">
      <c r="A8" s="4" t="inlineStr">
        <is>
          <t>Limina vs DIY comparison</t>
        </is>
      </c>
      <c r="B8" s="4" t="inlineStr">
        <is>
          <t>AE</t>
        </is>
      </c>
      <c r="C8" s="4" t="inlineStr">
        <is>
          <t>Product + customers</t>
        </is>
      </c>
      <c r="D8" s="4" t="inlineStr">
        <is>
          <t>To do</t>
        </is>
      </c>
      <c r="E8" s="4" t="n">
        <v>0</v>
      </c>
    </row>
    <row r="9">
      <c r="A9" s="4" t="inlineStr">
        <is>
          <t>Email snippets with proof</t>
        </is>
      </c>
      <c r="B9" s="4" t="inlineStr">
        <is>
          <t>MDR</t>
        </is>
      </c>
      <c r="C9" s="4" t="inlineStr">
        <is>
          <t>Case studies</t>
        </is>
      </c>
      <c r="D9" s="4" t="inlineStr">
        <is>
          <t>To do</t>
        </is>
      </c>
      <c r="E9" s="4" t="n">
        <v>0</v>
      </c>
    </row>
    <row r="10">
      <c r="A10" s="4" t="inlineStr">
        <is>
          <t>2-minute webinar cuts</t>
        </is>
      </c>
      <c r="B10" s="4" t="inlineStr">
        <is>
          <t>MDR</t>
        </is>
      </c>
      <c r="C10" s="4" t="inlineStr">
        <is>
          <t>Webinars</t>
        </is>
      </c>
      <c r="D10" s="4" t="inlineStr">
        <is>
          <t>To do</t>
        </is>
      </c>
      <c r="E10" s="4" t="n">
        <v>0</v>
      </c>
    </row>
    <row r="11">
      <c r="A11" s="4" t="inlineStr">
        <is>
          <t>Security + deployment FAQ</t>
        </is>
      </c>
      <c r="B11" s="4" t="inlineStr">
        <is>
          <t>CISO conversations</t>
        </is>
      </c>
      <c r="C11" s="4" t="inlineStr">
        <is>
          <t>Product + security</t>
        </is>
      </c>
      <c r="D11" s="4" t="inlineStr">
        <is>
          <t>To do</t>
        </is>
      </c>
      <c r="E11" s="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6" customWidth="1" min="3" max="3"/>
    <col width="22" customWidth="1" min="4" max="4"/>
  </cols>
  <sheetData>
    <row r="1">
      <c r="A1" s="1" t="inlineStr">
        <is>
          <t>Demand Gen ⇄ MDR hand-off rules</t>
        </is>
      </c>
    </row>
    <row r="2">
      <c r="A2" s="2" t="inlineStr">
        <is>
          <t>Agree in month 1, review every quarter.</t>
        </is>
      </c>
    </row>
    <row r="4" ht="30" customHeight="1">
      <c r="A4" s="3" t="inlineStr">
        <is>
          <t>Trigger</t>
        </is>
      </c>
      <c r="B4" s="3" t="inlineStr">
        <is>
          <t>What happens</t>
        </is>
      </c>
      <c r="C4" s="3" t="inlineStr">
        <is>
          <t>Owner</t>
        </is>
      </c>
      <c r="D4" s="3" t="inlineStr">
        <is>
          <t>Time</t>
        </is>
      </c>
    </row>
    <row r="5">
      <c r="A5" s="4" t="inlineStr">
        <is>
          <t>Demo or pricing request</t>
        </is>
      </c>
      <c r="B5" s="4" t="inlineStr">
        <is>
          <t>Instant alert; MDR replies</t>
        </is>
      </c>
      <c r="C5" s="4" t="inlineStr">
        <is>
          <t>MDR</t>
        </is>
      </c>
      <c r="D5" s="4" t="inlineStr">
        <is>
          <t>Within 1 business hour</t>
        </is>
      </c>
    </row>
    <row r="6">
      <c r="A6" s="4" t="inlineStr">
        <is>
          <t>Lead score 60+ (MQL)</t>
        </is>
      </c>
      <c r="B6" s="4" t="inlineStr">
        <is>
          <t>MDR task with context note</t>
        </is>
      </c>
      <c r="C6" s="4" t="inlineStr">
        <is>
          <t>Durva → MDR</t>
        </is>
      </c>
      <c r="D6" s="4" t="inlineStr">
        <is>
          <t>Same day</t>
        </is>
      </c>
    </row>
    <row r="7">
      <c r="A7" s="4" t="inlineStr">
        <is>
          <t>Webinar attended</t>
        </is>
      </c>
      <c r="B7" s="4" t="inlineStr">
        <is>
          <t>Attendee list + questions in HubSpot</t>
        </is>
      </c>
      <c r="C7" s="4" t="inlineStr">
        <is>
          <t>Durva</t>
        </is>
      </c>
      <c r="D7" s="4" t="inlineStr">
        <is>
          <t>Within 2 hrs</t>
        </is>
      </c>
    </row>
    <row r="8">
      <c r="A8" s="4" t="inlineStr">
        <is>
          <t>Webinar attended</t>
        </is>
      </c>
      <c r="B8" s="4" t="inlineStr">
        <is>
          <t>Personal follow-up</t>
        </is>
      </c>
      <c r="C8" s="4" t="inlineStr">
        <is>
          <t>MDR</t>
        </is>
      </c>
      <c r="D8" s="4" t="inlineStr">
        <is>
          <t>Within 24 hrs</t>
        </is>
      </c>
    </row>
    <row r="9">
      <c r="A9" s="4" t="inlineStr">
        <is>
          <t>Account score 60+</t>
        </is>
      </c>
      <c r="B9" s="4" t="inlineStr">
        <is>
          <t>Account worked this week</t>
        </is>
      </c>
      <c r="C9" s="4" t="inlineStr">
        <is>
          <t>MDR</t>
        </is>
      </c>
      <c r="D9" s="4" t="inlineStr">
        <is>
          <t>This week</t>
        </is>
      </c>
    </row>
    <row r="10">
      <c r="A10" s="4" t="inlineStr">
        <is>
          <t>Event badge scan</t>
        </is>
      </c>
      <c r="B10" s="4" t="inlineStr">
        <is>
          <t>Tagged by tier, follow-up</t>
        </is>
      </c>
      <c r="C10" s="4" t="inlineStr">
        <is>
          <t>Durva → MDR</t>
        </is>
      </c>
      <c r="D10" s="4" t="inlineStr">
        <is>
          <t>Within 48 hrs</t>
        </is>
      </c>
    </row>
    <row r="11">
      <c r="A11" s="4" t="inlineStr">
        <is>
          <t>Meeting held, not qualified</t>
        </is>
      </c>
      <c r="B11" s="4" t="inlineStr">
        <is>
          <t>Back to nurture with reason</t>
        </is>
      </c>
      <c r="C11" s="4" t="inlineStr">
        <is>
          <t>MDR → Durva</t>
        </is>
      </c>
      <c r="D11" s="4" t="inlineStr">
        <is>
          <t>Same week</t>
        </is>
      </c>
    </row>
    <row r="12">
      <c r="A12" s="4" t="inlineStr">
        <is>
          <t>MDR hears a new objection</t>
        </is>
      </c>
      <c r="B12" s="4" t="inlineStr">
        <is>
          <t>Shared in weekly sync</t>
        </is>
      </c>
      <c r="C12" s="4" t="inlineStr">
        <is>
          <t>MDR → Durva</t>
        </is>
      </c>
      <c r="D12" s="4" t="inlineStr">
        <is>
          <t>Weekly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Monthly KPI dashboard</t>
        </is>
      </c>
    </row>
    <row r="2">
      <c r="A2" s="2" t="inlineStr">
        <is>
          <t>Yellow = actuals to enter. Targets are SAMPLE. Rates calculate.</t>
        </is>
      </c>
    </row>
    <row r="4" ht="30" customHeight="1">
      <c r="A4" s="3" t="inlineStr">
        <is>
          <t>Metric</t>
        </is>
      </c>
      <c r="B4" s="3" t="inlineStr">
        <is>
          <t>Dec</t>
        </is>
      </c>
      <c r="C4" s="3" t="inlineStr">
        <is>
          <t>Jan</t>
        </is>
      </c>
      <c r="D4" s="3" t="inlineStr">
        <is>
          <t>Feb</t>
        </is>
      </c>
      <c r="E4" s="3" t="inlineStr">
        <is>
          <t>Mar</t>
        </is>
      </c>
      <c r="F4" s="3" t="inlineStr">
        <is>
          <t>Apr</t>
        </is>
      </c>
      <c r="G4" s="3" t="inlineStr">
        <is>
          <t>May</t>
        </is>
      </c>
      <c r="H4" s="3" t="inlineStr">
        <is>
          <t>6-mo total</t>
        </is>
      </c>
    </row>
    <row r="5">
      <c r="A5" s="5" t="inlineStr">
        <is>
          <t>Net-new leads (target)</t>
        </is>
      </c>
      <c r="B5" s="5" t="n">
        <v>120</v>
      </c>
      <c r="C5" s="5" t="n">
        <v>160</v>
      </c>
      <c r="D5" s="5" t="n">
        <v>200</v>
      </c>
      <c r="E5" s="5" t="n">
        <v>240</v>
      </c>
      <c r="F5" s="5" t="n">
        <v>240</v>
      </c>
      <c r="G5" s="5" t="n">
        <v>240</v>
      </c>
      <c r="H5" s="5">
        <f>SUM(B5:G5)</f>
        <v/>
      </c>
    </row>
    <row r="6">
      <c r="A6" s="5" t="inlineStr">
        <is>
          <t>Net-new leads (actual)</t>
        </is>
      </c>
      <c r="B6" s="13" t="n"/>
      <c r="C6" s="13" t="n"/>
      <c r="D6" s="13" t="n"/>
      <c r="E6" s="13" t="n"/>
      <c r="F6" s="13" t="n"/>
      <c r="G6" s="13" t="n"/>
      <c r="H6" s="5">
        <f>SUM(B6:G6)</f>
        <v/>
      </c>
    </row>
    <row r="7">
      <c r="A7" s="5" t="inlineStr">
        <is>
          <t>MQLs (target)</t>
        </is>
      </c>
      <c r="B7" s="5" t="n">
        <v>30</v>
      </c>
      <c r="C7" s="5" t="n">
        <v>40</v>
      </c>
      <c r="D7" s="5" t="n">
        <v>50</v>
      </c>
      <c r="E7" s="5" t="n">
        <v>60</v>
      </c>
      <c r="F7" s="5" t="n">
        <v>60</v>
      </c>
      <c r="G7" s="5" t="n">
        <v>60</v>
      </c>
      <c r="H7" s="5">
        <f>SUM(B7:G7)</f>
        <v/>
      </c>
    </row>
    <row r="8">
      <c r="A8" s="5" t="inlineStr">
        <is>
          <t>MQLs (actual)</t>
        </is>
      </c>
      <c r="B8" s="13" t="n"/>
      <c r="C8" s="13" t="n"/>
      <c r="D8" s="13" t="n"/>
      <c r="E8" s="13" t="n"/>
      <c r="F8" s="13" t="n"/>
      <c r="G8" s="13" t="n"/>
      <c r="H8" s="5">
        <f>SUM(B8:G8)</f>
        <v/>
      </c>
    </row>
    <row r="9">
      <c r="A9" s="5" t="inlineStr">
        <is>
          <t>Meetings (target)</t>
        </is>
      </c>
      <c r="B9" s="5" t="n">
        <v>8</v>
      </c>
      <c r="C9" s="5" t="n">
        <v>12</v>
      </c>
      <c r="D9" s="5" t="n">
        <v>15</v>
      </c>
      <c r="E9" s="5" t="n">
        <v>18</v>
      </c>
      <c r="F9" s="5" t="n">
        <v>18</v>
      </c>
      <c r="G9" s="5" t="n">
        <v>19</v>
      </c>
      <c r="H9" s="5">
        <f>SUM(B9:G9)</f>
        <v/>
      </c>
    </row>
    <row r="10">
      <c r="A10" s="5" t="inlineStr">
        <is>
          <t>Meetings (actual)</t>
        </is>
      </c>
      <c r="B10" s="13" t="n"/>
      <c r="C10" s="13" t="n"/>
      <c r="D10" s="13" t="n"/>
      <c r="E10" s="13" t="n"/>
      <c r="F10" s="13" t="n"/>
      <c r="G10" s="13" t="n"/>
      <c r="H10" s="5">
        <f>SUM(B10:G10)</f>
        <v/>
      </c>
    </row>
    <row r="11">
      <c r="A11" s="5" t="inlineStr">
        <is>
          <t>Opportunities (target)</t>
        </is>
      </c>
      <c r="B11" s="5" t="n">
        <v>2</v>
      </c>
      <c r="C11" s="5" t="n">
        <v>3</v>
      </c>
      <c r="D11" s="5" t="n">
        <v>4</v>
      </c>
      <c r="E11" s="5" t="n">
        <v>5</v>
      </c>
      <c r="F11" s="5" t="n">
        <v>5</v>
      </c>
      <c r="G11" s="5" t="n">
        <v>5</v>
      </c>
      <c r="H11" s="5">
        <f>SUM(B11:G11)</f>
        <v/>
      </c>
    </row>
    <row r="12">
      <c r="A12" s="5" t="inlineStr">
        <is>
          <t>Opportunities (actual)</t>
        </is>
      </c>
      <c r="B12" s="13" t="n"/>
      <c r="C12" s="13" t="n"/>
      <c r="D12" s="13" t="n"/>
      <c r="E12" s="13" t="n"/>
      <c r="F12" s="13" t="n"/>
      <c r="G12" s="13" t="n"/>
      <c r="H12" s="5">
        <f>SUM(B12:G12)</f>
        <v/>
      </c>
    </row>
    <row r="14">
      <c r="A14" s="7" t="inlineStr">
        <is>
          <t>Lead → MQL rate (actual)</t>
        </is>
      </c>
      <c r="B14" s="11">
        <f>IFERROR(B8/B6,"")</f>
        <v/>
      </c>
      <c r="C14" s="11">
        <f>IFERROR(C8/C6,"")</f>
        <v/>
      </c>
      <c r="D14" s="11">
        <f>IFERROR(D8/D6,"")</f>
        <v/>
      </c>
      <c r="E14" s="11">
        <f>IFERROR(E8/E6,"")</f>
        <v/>
      </c>
      <c r="F14" s="11">
        <f>IFERROR(F8/F6,"")</f>
        <v/>
      </c>
      <c r="G14" s="11">
        <f>IFERROR(G8/G6,"")</f>
        <v/>
      </c>
      <c r="H14" s="11">
        <f>IFERROR(H8/H6,"")</f>
        <v/>
      </c>
    </row>
    <row r="15">
      <c r="A15" s="7" t="inlineStr">
        <is>
          <t>MQL → meeting rate (actual)</t>
        </is>
      </c>
      <c r="B15" s="11">
        <f>IFERROR(B10/B8,"")</f>
        <v/>
      </c>
      <c r="C15" s="11">
        <f>IFERROR(C10/C8,"")</f>
        <v/>
      </c>
      <c r="D15" s="11">
        <f>IFERROR(D10/D8,"")</f>
        <v/>
      </c>
      <c r="E15" s="11">
        <f>IFERROR(E10/E8,"")</f>
        <v/>
      </c>
      <c r="F15" s="11">
        <f>IFERROR(F10/F8,"")</f>
        <v/>
      </c>
      <c r="G15" s="11">
        <f>IFERROR(G10/G8,"")</f>
        <v/>
      </c>
      <c r="H15" s="11">
        <f>IFERROR(H10/H8,"")</f>
        <v/>
      </c>
    </row>
    <row r="16">
      <c r="A16" s="7" t="inlineStr">
        <is>
          <t>Meeting → opportunity rate (actual)</t>
        </is>
      </c>
      <c r="B16" s="11">
        <f>IFERROR(B12/B10,"")</f>
        <v/>
      </c>
      <c r="C16" s="11">
        <f>IFERROR(C12/C10,"")</f>
        <v/>
      </c>
      <c r="D16" s="11">
        <f>IFERROR(D12/D10,"")</f>
        <v/>
      </c>
      <c r="E16" s="11">
        <f>IFERROR(E12/E10,"")</f>
        <v/>
      </c>
      <c r="F16" s="11">
        <f>IFERROR(F12/F10,"")</f>
        <v/>
      </c>
      <c r="G16" s="11">
        <f>IFERROR(G12/G10,"")</f>
        <v/>
      </c>
      <c r="H16" s="11">
        <f>IFERROR(H12/H10,"")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4" customWidth="1" min="3" max="3"/>
    <col width="30" customWidth="1" min="4" max="4"/>
    <col width="18" customWidth="1" min="5" max="5"/>
    <col width="90" customWidth="1" min="6" max="6"/>
  </cols>
  <sheetData>
    <row r="1">
      <c r="A1" s="1" t="inlineStr">
        <is>
          <t>UTM builder</t>
        </is>
      </c>
    </row>
    <row r="2">
      <c r="A2" s="2" t="inlineStr">
        <is>
          <t>Fill the yellow cells; the tracked URL builds itself.</t>
        </is>
      </c>
    </row>
    <row r="4" ht="30" customHeight="1">
      <c r="A4" s="3" t="inlineStr">
        <is>
          <t>Page URL</t>
        </is>
      </c>
      <c r="B4" s="3" t="inlineStr">
        <is>
          <t>Source</t>
        </is>
      </c>
      <c r="C4" s="3" t="inlineStr">
        <is>
          <t>Medium</t>
        </is>
      </c>
      <c r="D4" s="3" t="inlineStr">
        <is>
          <t>Campaign</t>
        </is>
      </c>
      <c r="E4" s="3" t="inlineStr">
        <is>
          <t>Content</t>
        </is>
      </c>
      <c r="F4" s="3" t="inlineStr">
        <is>
          <t>Tracked URL</t>
        </is>
      </c>
    </row>
    <row r="5">
      <c r="A5" s="13" t="inlineStr">
        <is>
          <t>https://www.getlimina.ai/en</t>
        </is>
      </c>
      <c r="B5" s="13" t="inlineStr">
        <is>
          <t>linkedin</t>
        </is>
      </c>
      <c r="C5" s="13" t="inlineStr">
        <is>
          <t>paid-social</t>
        </is>
      </c>
      <c r="D5" s="13" t="inlineStr">
        <is>
          <t>2027-q1_webinar_governing-every-prompt</t>
        </is>
      </c>
      <c r="E5" s="13" t="inlineStr">
        <is>
          <t>ad-a</t>
        </is>
      </c>
      <c r="F5" s="5">
        <f>A5&amp;IF(ISNUMBER(SEARCH("?",A5)),"&amp;","?")&amp;"utm_source="&amp;B5&amp;"&amp;utm_medium="&amp;C5&amp;"&amp;utm_campaign="&amp;D5&amp;IF(E5&lt;&gt;"","&amp;utm_content="&amp;E5,"")</f>
        <v/>
      </c>
    </row>
    <row r="6">
      <c r="A6" s="13" t="inlineStr">
        <is>
          <t>https://www.getlimina.ai/en</t>
        </is>
      </c>
      <c r="B6" s="13" t="inlineStr">
        <is>
          <t>email</t>
        </is>
      </c>
      <c r="C6" s="13" t="inlineStr">
        <is>
          <t>nurture</t>
        </is>
      </c>
      <c r="D6" s="13" t="inlineStr">
        <is>
          <t>2027-q1_guide_ai-training-data</t>
        </is>
      </c>
      <c r="E6" s="13" t="inlineStr">
        <is>
          <t>email-2</t>
        </is>
      </c>
      <c r="F6" s="5">
        <f>A6&amp;IF(ISNUMBER(SEARCH("?",A6)),"&amp;","?")&amp;"utm_source="&amp;B6&amp;"&amp;utm_medium="&amp;C6&amp;"&amp;utm_campaign="&amp;D6&amp;IF(E6&lt;&gt;"","&amp;utm_content="&amp;E6,"")</f>
        <v/>
      </c>
    </row>
    <row r="7">
      <c r="A7" s="13" t="inlineStr">
        <is>
          <t>https://durvathakkar.com/limina/abm/?a=manulife</t>
        </is>
      </c>
      <c r="B7" s="13" t="inlineStr">
        <is>
          <t>linkedin</t>
        </is>
      </c>
      <c r="C7" s="13" t="inlineStr">
        <is>
          <t>abm</t>
        </is>
      </c>
      <c r="D7" s="13" t="inlineStr">
        <is>
          <t>2027-q1_abm-tier1</t>
        </is>
      </c>
      <c r="E7" s="13" t="inlineStr">
        <is>
          <t>manulife</t>
        </is>
      </c>
      <c r="F7" s="5">
        <f>A7&amp;IF(ISNUMBER(SEARCH("?",A7)),"&amp;","?")&amp;"utm_source="&amp;B7&amp;"&amp;utm_medium="&amp;C7&amp;"&amp;utm_campaign="&amp;D7&amp;IF(E7&lt;&gt;"","&amp;utm_content="&amp;E7,"")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2026-10-27T05:17:23Z</dcterms:created>
  <dcterms:modified xmlns:dcterms="http://purl.org/dc/terms/" xmlns:xsi="http://www.w3.org/2001/XMLSchema-instance" xsi:type="dcterms:W3CDTF">2026-10-27T05:17:23Z</dcterms:modified>
</cp:coreProperties>
</file>