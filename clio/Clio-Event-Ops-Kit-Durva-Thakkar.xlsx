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ogistics" sheetId="2" state="visible" r:id="rId2"/>
    <sheet xmlns:r="http://schemas.openxmlformats.org/officeDocument/2006/relationships" name="Vendors" sheetId="3" state="visible" r:id="rId3"/>
    <sheet xmlns:r="http://schemas.openxmlformats.org/officeDocument/2006/relationships" name="Budget + reconciliation" sheetId="4" state="visible" r:id="rId4"/>
    <sheet xmlns:r="http://schemas.openxmlformats.org/officeDocument/2006/relationships" name="Travel" sheetId="5" state="visible" r:id="rId5"/>
    <sheet xmlns:r="http://schemas.openxmlformats.org/officeDocument/2006/relationships" name="Shipping" sheetId="6" state="visible" r:id="rId6"/>
    <sheet xmlns:r="http://schemas.openxmlformats.org/officeDocument/2006/relationships" name="Volunteers" sheetId="7" state="visible" r:id="rId7"/>
    <sheet xmlns:r="http://schemas.openxmlformats.org/officeDocument/2006/relationships" name="Comms calendar" sheetId="8" state="visible" r:id="rId8"/>
    <sheet xmlns:r="http://schemas.openxmlformats.org/officeDocument/2006/relationships" name="Partner onboarding" sheetId="9" state="visible" r:id="rId9"/>
    <sheet xmlns:r="http://schemas.openxmlformats.org/officeDocument/2006/relationships" name="Status + risks" sheetId="10" state="visible" r:id="rId10"/>
    <sheet xmlns:r="http://schemas.openxmlformats.org/officeDocument/2006/relationships" name="AI workflow lo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mm d, yyyy"/>
    <numFmt numFmtId="166" formatCode="&quot;$&quot;#,##0"/>
    <numFmt numFmtId="167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04304C"/>
      <sz val="16"/>
    </font>
    <font>
      <name val="Arial"/>
      <color rgb="005B7D95"/>
      <sz val="10"/>
    </font>
    <font>
      <name val="Arial"/>
      <b val="1"/>
      <color rgb="0017191C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3EEFA"/>
      </patternFill>
    </fill>
    <fill>
      <patternFill patternType="solid">
        <fgColor rgb="0004304C"/>
      </patternFill>
    </fill>
  </fills>
  <borders count="2">
    <border>
      <left/>
      <right/>
      <top/>
      <bottom/>
      <diagonal/>
    </border>
    <border>
      <left style="thin">
        <color rgb="00D9DEE3"/>
      </left>
      <right style="thin">
        <color rgb="00D9DEE3"/>
      </right>
      <top style="thin">
        <color rgb="00D9DEE3"/>
      </top>
      <bottom style="thin">
        <color rgb="00D9DEE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165" fontId="0" fillId="2" borderId="0" pivotButton="0" quotePrefix="0" xfId="0"/>
    <xf numFmtId="0" fontId="4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0" fillId="2" borderId="1" pivotButton="0" quotePrefix="0" xfId="0"/>
    <xf numFmtId="166" fontId="0" fillId="2" borderId="1" pivotButton="0" quotePrefix="0" xfId="0"/>
    <xf numFmtId="167" fontId="0" fillId="0" borderId="0" pivotButton="0" quotePrefix="0" xfId="0"/>
    <xf numFmtId="166" fontId="3" fillId="0" borderId="0" pivotButton="0" quotePrefix="0" xfId="0"/>
    <xf numFmtId="165" fontId="0" fillId="0" borderId="1" pivotButton="0" quotePrefix="0" xfId="0"/>
  </cellXfs>
  <cellStyles count="1">
    <cellStyle name="Normal" xfId="0" builtinId="0" hidden="0"/>
  </cellStyles>
  <dxfs count="5">
    <dxf>
      <font>
        <b val="1"/>
        <color rgb="00D74417"/>
      </font>
    </dxf>
    <dxf>
      <font>
        <b val="1"/>
        <color rgb="0015803D"/>
      </font>
    </dxf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1" t="inlineStr">
        <is>
          <t>Event + partnerships ops kit · sample</t>
        </is>
      </c>
    </row>
    <row r="2">
      <c r="A2" s="2" t="inlineStr">
        <is>
          <t>Made by Durva Thakkar for Clio's Strategic Engagement team · durvathakkar.com/clio</t>
        </is>
      </c>
    </row>
    <row r="4" ht="34" customHeight="1">
      <c r="A4" s="3" t="inlineStr">
        <is>
          <t>What this is</t>
        </is>
      </c>
      <c r="B4" s="4" t="inlineStr">
        <is>
          <t>A ready-to-use ops workbook for one flagship event and the partner program around it. Works in Excel and Google Sheets.</t>
        </is>
      </c>
    </row>
    <row r="5" ht="34" customHeight="1">
      <c r="A5" s="3" t="inlineStr">
        <is>
          <t>Sample data</t>
        </is>
      </c>
      <c r="B5" s="4" t="inlineStr">
        <is>
          <t>Every vendor, amount, name and date here is sample data I created to show the system. Nothing is Clio data.</t>
        </is>
      </c>
    </row>
    <row r="6" ht="34" customHeight="1">
      <c r="A6" s="3" t="inlineStr">
        <is>
          <t>Event date</t>
        </is>
      </c>
      <c r="B6" s="4" t="inlineStr">
        <is>
          <t>Change 'Logistics'!C3 and every due date and 'days left' recalculates.</t>
        </is>
      </c>
    </row>
    <row r="7" ht="34" customHeight="1">
      <c r="A7" s="3" t="inlineStr">
        <is>
          <t>Colour key</t>
        </is>
      </c>
      <c r="B7" s="4" t="inlineStr">
        <is>
          <t>Light blue cells are inputs. Everything else is a formula.</t>
        </is>
      </c>
    </row>
    <row r="8" ht="34" customHeight="1">
      <c r="A8" s="3" t="inlineStr">
        <is>
          <t>Tabs</t>
        </is>
      </c>
      <c r="B8" s="4" t="inlineStr">
        <is>
          <t>Logistics · Vendors · Budget + reconciliation · Travel · Shipping · Volunteers · Comms calendar · Partner onboarding · Status + risks · AI workflow 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3" customWidth="1" min="2" max="2"/>
    <col width="58" customWidth="1" min="3" max="3"/>
    <col width="16" customWidth="1" min="4" max="4"/>
    <col width="12" customWidth="1" min="5" max="5"/>
    <col width="14" customWidth="1" min="6" max="6"/>
    <col width="10" customWidth="1" min="7" max="7"/>
    <col width="13" customWidth="1" min="8" max="8"/>
    <col width="30" customWidth="1" min="9" max="9"/>
  </cols>
  <sheetData>
    <row r="1">
      <c r="A1" s="1" t="inlineStr">
        <is>
          <t>Logistics tracker · flagship conference (sample)</t>
        </is>
      </c>
    </row>
    <row r="2">
      <c r="A2" s="2" t="inlineStr">
        <is>
          <t>Due date = event date minus days before. Days left updates every time you open the file.</t>
        </is>
      </c>
    </row>
    <row r="3">
      <c r="B3" s="3" t="inlineStr">
        <is>
          <t>Event date</t>
        </is>
      </c>
      <c r="C3" s="5" t="n">
        <v>46321</v>
      </c>
    </row>
    <row r="5" ht="30" customHeight="1">
      <c r="A5" s="6" t="inlineStr">
        <is>
          <t>#</t>
        </is>
      </c>
      <c r="B5" s="6" t="inlineStr">
        <is>
          <t>Workstream</t>
        </is>
      </c>
      <c r="C5" s="6" t="inlineStr">
        <is>
          <t>Task</t>
        </is>
      </c>
      <c r="D5" s="6" t="inlineStr">
        <is>
          <t>Owner</t>
        </is>
      </c>
      <c r="E5" s="6" t="inlineStr">
        <is>
          <t>Days before event</t>
        </is>
      </c>
      <c r="F5" s="6" t="inlineStr">
        <is>
          <t>Due date</t>
        </is>
      </c>
      <c r="G5" s="6" t="inlineStr">
        <is>
          <t>Days left</t>
        </is>
      </c>
      <c r="H5" s="6" t="inlineStr">
        <is>
          <t>Status</t>
        </is>
      </c>
      <c r="I5" s="6" t="inlineStr">
        <is>
          <t>Notes</t>
        </is>
      </c>
    </row>
    <row r="6">
      <c r="A6" s="7" t="n">
        <v>1</v>
      </c>
      <c r="B6" s="7" t="inlineStr">
        <is>
          <t>Vendors</t>
        </is>
      </c>
      <c r="C6" s="7" t="inlineStr">
        <is>
          <t>Onboard AV vendor (tax form, banking, insurance certificate)</t>
        </is>
      </c>
      <c r="D6" s="7" t="inlineStr">
        <is>
          <t>Coordinator</t>
        </is>
      </c>
      <c r="E6" s="8" t="n">
        <v>45</v>
      </c>
      <c r="F6" s="9">
        <f>$C$3-E6</f>
        <v/>
      </c>
      <c r="G6" s="7">
        <f>F6-TODAY()</f>
        <v/>
      </c>
      <c r="H6" s="8" t="inlineStr">
        <is>
          <t>Done</t>
        </is>
      </c>
      <c r="I6" s="7" t="inlineStr"/>
    </row>
    <row r="7">
      <c r="A7" s="7" t="n">
        <v>2</v>
      </c>
      <c r="B7" s="7" t="inlineStr">
        <is>
          <t>Vendors</t>
        </is>
      </c>
      <c r="C7" s="7" t="inlineStr">
        <is>
          <t>Create PO for AV and staging</t>
        </is>
      </c>
      <c r="D7" s="7" t="inlineStr">
        <is>
          <t>Coordinator</t>
        </is>
      </c>
      <c r="E7" s="8" t="n">
        <v>40</v>
      </c>
      <c r="F7" s="9">
        <f>$C$3-E7</f>
        <v/>
      </c>
      <c r="G7" s="7">
        <f>F7-TODAY()</f>
        <v/>
      </c>
      <c r="H7" s="8" t="inlineStr">
        <is>
          <t>Done</t>
        </is>
      </c>
      <c r="I7" s="7" t="inlineStr">
        <is>
          <t>PO approved</t>
        </is>
      </c>
    </row>
    <row r="8">
      <c r="A8" s="7" t="n">
        <v>3</v>
      </c>
      <c r="B8" s="7" t="inlineStr">
        <is>
          <t>Contracts</t>
        </is>
      </c>
      <c r="C8" s="7" t="inlineStr">
        <is>
          <t>Contract signed with catering for partner dinner</t>
        </is>
      </c>
      <c r="D8" s="7" t="inlineStr">
        <is>
          <t>Program manager</t>
        </is>
      </c>
      <c r="E8" s="8" t="n">
        <v>35</v>
      </c>
      <c r="F8" s="9">
        <f>$C$3-E8</f>
        <v/>
      </c>
      <c r="G8" s="7">
        <f>F8-TODAY()</f>
        <v/>
      </c>
      <c r="H8" s="8" t="inlineStr">
        <is>
          <t>Done</t>
        </is>
      </c>
      <c r="I8" s="7" t="inlineStr"/>
    </row>
    <row r="9">
      <c r="A9" s="7" t="n">
        <v>4</v>
      </c>
      <c r="B9" s="7" t="inlineStr">
        <is>
          <t>Swag</t>
        </is>
      </c>
      <c r="C9" s="7" t="inlineStr">
        <is>
          <t>Order swag: notebooks, pens, stickers (quantity = registrations x 1.1)</t>
        </is>
      </c>
      <c r="D9" s="7" t="inlineStr">
        <is>
          <t>Coordinator</t>
        </is>
      </c>
      <c r="E9" s="8" t="n">
        <v>30</v>
      </c>
      <c r="F9" s="9">
        <f>$C$3-E9</f>
        <v/>
      </c>
      <c r="G9" s="7">
        <f>F9-TODAY()</f>
        <v/>
      </c>
      <c r="H9" s="8" t="inlineStr">
        <is>
          <t>Done</t>
        </is>
      </c>
      <c r="I9" s="7" t="inlineStr"/>
    </row>
    <row r="10">
      <c r="A10" s="7" t="n">
        <v>5</v>
      </c>
      <c r="B10" s="7" t="inlineStr">
        <is>
          <t>Shipping</t>
        </is>
      </c>
      <c r="C10" s="7" t="inlineStr">
        <is>
          <t>Ship booth kit to venue advance warehouse</t>
        </is>
      </c>
      <c r="D10" s="7" t="inlineStr">
        <is>
          <t>Coordinator</t>
        </is>
      </c>
      <c r="E10" s="8" t="n">
        <v>14</v>
      </c>
      <c r="F10" s="9">
        <f>$C$3-E10</f>
        <v/>
      </c>
      <c r="G10" s="7">
        <f>F10-TODAY()</f>
        <v/>
      </c>
      <c r="H10" s="8" t="inlineStr">
        <is>
          <t>In progress</t>
        </is>
      </c>
      <c r="I10" s="7" t="inlineStr">
        <is>
          <t>Check the venue's receiving window</t>
        </is>
      </c>
    </row>
    <row r="11">
      <c r="A11" s="7" t="n">
        <v>6</v>
      </c>
      <c r="B11" s="7" t="inlineStr">
        <is>
          <t>Travel</t>
        </is>
      </c>
      <c r="C11" s="7" t="inlineStr">
        <is>
          <t>Book team flights and hotel block</t>
        </is>
      </c>
      <c r="D11" s="7" t="inlineStr">
        <is>
          <t>Coordinator</t>
        </is>
      </c>
      <c r="E11" s="8" t="n">
        <v>21</v>
      </c>
      <c r="F11" s="9">
        <f>$C$3-E11</f>
        <v/>
      </c>
      <c r="G11" s="7">
        <f>F11-TODAY()</f>
        <v/>
      </c>
      <c r="H11" s="8" t="inlineStr">
        <is>
          <t>Done</t>
        </is>
      </c>
      <c r="I11" s="7" t="inlineStr"/>
    </row>
    <row r="12">
      <c r="A12" s="7" t="n">
        <v>7</v>
      </c>
      <c r="B12" s="7" t="inlineStr">
        <is>
          <t>Speakers</t>
        </is>
      </c>
      <c r="C12" s="7" t="inlineStr">
        <is>
          <t>Collect final speaker slides and bios</t>
        </is>
      </c>
      <c r="D12" s="7" t="inlineStr">
        <is>
          <t>Program manager</t>
        </is>
      </c>
      <c r="E12" s="8" t="n">
        <v>10</v>
      </c>
      <c r="F12" s="9">
        <f>$C$3-E12</f>
        <v/>
      </c>
      <c r="G12" s="7">
        <f>F12-TODAY()</f>
        <v/>
      </c>
      <c r="H12" s="8" t="inlineStr">
        <is>
          <t>In progress</t>
        </is>
      </c>
      <c r="I12" s="7" t="inlineStr">
        <is>
          <t>8 of 40 outstanding</t>
        </is>
      </c>
    </row>
    <row r="13">
      <c r="A13" s="7" t="n">
        <v>8</v>
      </c>
      <c r="B13" s="7" t="inlineStr">
        <is>
          <t>Sponsors</t>
        </is>
      </c>
      <c r="C13" s="7" t="inlineStr">
        <is>
          <t>Confirm sponsor booth assets and logo files</t>
        </is>
      </c>
      <c r="D13" s="7" t="inlineStr">
        <is>
          <t>Partnerships</t>
        </is>
      </c>
      <c r="E13" s="8" t="n">
        <v>10</v>
      </c>
      <c r="F13" s="9">
        <f>$C$3-E13</f>
        <v/>
      </c>
      <c r="G13" s="7">
        <f>F13-TODAY()</f>
        <v/>
      </c>
      <c r="H13" s="8" t="inlineStr">
        <is>
          <t>Waiting</t>
        </is>
      </c>
      <c r="I13" s="7" t="inlineStr">
        <is>
          <t>2 sponsors pending</t>
        </is>
      </c>
    </row>
    <row r="14">
      <c r="A14" s="7" t="n">
        <v>9</v>
      </c>
      <c r="B14" s="7" t="inlineStr">
        <is>
          <t>Volunteers</t>
        </is>
      </c>
      <c r="C14" s="7" t="inlineStr">
        <is>
          <t>Volunteer roster final + briefing deck sent</t>
        </is>
      </c>
      <c r="D14" s="7" t="inlineStr">
        <is>
          <t>Coordinator</t>
        </is>
      </c>
      <c r="E14" s="8" t="n">
        <v>7</v>
      </c>
      <c r="F14" s="9">
        <f>$C$3-E14</f>
        <v/>
      </c>
      <c r="G14" s="7">
        <f>F14-TODAY()</f>
        <v/>
      </c>
      <c r="H14" s="8" t="inlineStr">
        <is>
          <t>Not started</t>
        </is>
      </c>
      <c r="I14" s="7" t="inlineStr"/>
    </row>
    <row r="15">
      <c r="A15" s="7" t="n">
        <v>10</v>
      </c>
      <c r="B15" s="7" t="inlineStr">
        <is>
          <t>Payments</t>
        </is>
      </c>
      <c r="C15" s="7" t="inlineStr">
        <is>
          <t>Process deposits and local vendor payments</t>
        </is>
      </c>
      <c r="D15" s="7" t="inlineStr">
        <is>
          <t>Coordinator</t>
        </is>
      </c>
      <c r="E15" s="8" t="n">
        <v>7</v>
      </c>
      <c r="F15" s="9">
        <f>$C$3-E15</f>
        <v/>
      </c>
      <c r="G15" s="7">
        <f>F15-TODAY()</f>
        <v/>
      </c>
      <c r="H15" s="8" t="inlineStr">
        <is>
          <t>In progress</t>
        </is>
      </c>
      <c r="I15" s="7" t="inlineStr"/>
    </row>
    <row r="16">
      <c r="A16" s="7" t="n">
        <v>11</v>
      </c>
      <c r="B16" s="7" t="inlineStr">
        <is>
          <t>Onsite</t>
        </is>
      </c>
      <c r="C16" s="7" t="inlineStr">
        <is>
          <t>Print signage and badge stock</t>
        </is>
      </c>
      <c r="D16" s="7" t="inlineStr">
        <is>
          <t>Coordinator</t>
        </is>
      </c>
      <c r="E16" s="8" t="n">
        <v>5</v>
      </c>
      <c r="F16" s="9">
        <f>$C$3-E16</f>
        <v/>
      </c>
      <c r="G16" s="7">
        <f>F16-TODAY()</f>
        <v/>
      </c>
      <c r="H16" s="8" t="inlineStr">
        <is>
          <t>Not started</t>
        </is>
      </c>
      <c r="I16" s="7" t="inlineStr"/>
    </row>
    <row r="17">
      <c r="A17" s="7" t="n">
        <v>12</v>
      </c>
      <c r="B17" s="7" t="inlineStr">
        <is>
          <t>Wrap-up</t>
        </is>
      </c>
      <c r="C17" s="7" t="inlineStr">
        <is>
          <t>Expense reconciliation and post-event report</t>
        </is>
      </c>
      <c r="D17" s="7" t="inlineStr">
        <is>
          <t>Coordinator</t>
        </is>
      </c>
      <c r="E17" s="8" t="n">
        <v>-7</v>
      </c>
      <c r="F17" s="9">
        <f>$C$3-E17</f>
        <v/>
      </c>
      <c r="G17" s="7">
        <f>F17-TODAY()</f>
        <v/>
      </c>
      <c r="H17" s="8" t="inlineStr">
        <is>
          <t>Not started</t>
        </is>
      </c>
      <c r="I17" s="7" t="inlineStr">
        <is>
          <t>Due 7 days after</t>
        </is>
      </c>
    </row>
    <row r="19">
      <c r="B19" s="3" t="inlineStr">
        <is>
          <t>Progress</t>
        </is>
      </c>
      <c r="C19">
        <f>COUNTIF(H6:H17,"Done")&amp;" of "&amp;COUNTA(H6:H17)&amp;" done"</f>
        <v/>
      </c>
    </row>
  </sheetData>
  <conditionalFormatting sqref="G6:G17">
    <cfRule type="expression" priority="1" dxfId="0">
      <formula>AND(G6&lt;3,$H6&lt;&gt;"Done")</formula>
    </cfRule>
  </conditionalFormatting>
  <conditionalFormatting sqref="H6:H17">
    <cfRule type="cellIs" priority="2" operator="equal" dxfId="1">
      <formula>"Done"</formula>
    </cfRule>
    <cfRule type="cellIs" priority="3" operator="equal" dxfId="0">
      <formula>"Blocked"</formula>
    </cfRule>
  </conditionalFormatting>
  <dataValidations count="1">
    <dataValidation sqref="H6:H17" showDropDown="0" showInputMessage="0" showErrorMessage="0" allowBlank="0" type="list">
      <formula1>"Not started,In progress,Waiting,Done,Blocked"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" customWidth="1" min="3" max="3"/>
    <col width="12" customWidth="1" min="4" max="4"/>
    <col width="14" customWidth="1" min="5" max="5"/>
    <col width="10" customWidth="1" min="6" max="6"/>
    <col width="10" customWidth="1" min="7" max="7"/>
    <col width="14" customWidth="1" min="8" max="8"/>
  </cols>
  <sheetData>
    <row r="1">
      <c r="A1" s="1" t="inlineStr">
        <is>
          <t>New vendor onboarding</t>
        </is>
      </c>
    </row>
    <row r="2">
      <c r="A2" s="2" t="inlineStr">
        <is>
          <t>Nothing gets a PO until every column is Yes.</t>
        </is>
      </c>
    </row>
    <row r="4" ht="30" customHeight="1">
      <c r="A4" s="6" t="inlineStr">
        <is>
          <t>Vendor</t>
        </is>
      </c>
      <c r="B4" s="6" t="inlineStr">
        <is>
          <t>Service</t>
        </is>
      </c>
      <c r="C4" s="6" t="inlineStr">
        <is>
          <t>Tax form</t>
        </is>
      </c>
      <c r="D4" s="6" t="inlineStr">
        <is>
          <t>Banking info</t>
        </is>
      </c>
      <c r="E4" s="6" t="inlineStr">
        <is>
          <t>Insurance cert</t>
        </is>
      </c>
      <c r="F4" s="6" t="inlineStr">
        <is>
          <t>Contract</t>
        </is>
      </c>
      <c r="G4" s="6" t="inlineStr">
        <is>
          <t>PO #</t>
        </is>
      </c>
      <c r="H4" s="6" t="inlineStr">
        <is>
          <t>Ready to pay?</t>
        </is>
      </c>
    </row>
    <row r="5">
      <c r="A5" s="10" t="inlineStr">
        <is>
          <t>Northside AV</t>
        </is>
      </c>
      <c r="B5" s="10" t="inlineStr">
        <is>
          <t>Audio visual</t>
        </is>
      </c>
      <c r="C5" s="11" t="inlineStr">
        <is>
          <t>Yes</t>
        </is>
      </c>
      <c r="D5" s="11" t="inlineStr">
        <is>
          <t>Yes</t>
        </is>
      </c>
      <c r="E5" s="11" t="inlineStr">
        <is>
          <t>Yes</t>
        </is>
      </c>
      <c r="F5" s="11" t="inlineStr">
        <is>
          <t>Yes</t>
        </is>
      </c>
      <c r="G5" s="11" t="inlineStr">
        <is>
          <t>PO-2611</t>
        </is>
      </c>
      <c r="H5" s="10">
        <f>IF(AND(C5="Yes",D5="Yes",E5="Yes",F5="Yes",G5&lt;&gt;""),"Yes","Not yet")</f>
        <v/>
      </c>
    </row>
    <row r="6">
      <c r="A6" s="10" t="inlineStr">
        <is>
          <t>Harbour Catering</t>
        </is>
      </c>
      <c r="B6" s="10" t="inlineStr">
        <is>
          <t>Partner dinner</t>
        </is>
      </c>
      <c r="C6" s="11" t="inlineStr">
        <is>
          <t>Yes</t>
        </is>
      </c>
      <c r="D6" s="11" t="inlineStr">
        <is>
          <t>Yes</t>
        </is>
      </c>
      <c r="E6" s="11" t="inlineStr">
        <is>
          <t>No</t>
        </is>
      </c>
      <c r="F6" s="11" t="inlineStr">
        <is>
          <t>Yes</t>
        </is>
      </c>
      <c r="G6" s="11" t="inlineStr">
        <is>
          <t>PO-2614</t>
        </is>
      </c>
      <c r="H6" s="10">
        <f>IF(AND(C6="Yes",D6="Yes",E6="Yes",F6="Yes",G6&lt;&gt;""),"Yes","Not yet")</f>
        <v/>
      </c>
    </row>
    <row r="7">
      <c r="A7" s="10" t="inlineStr">
        <is>
          <t>Print Lab</t>
        </is>
      </c>
      <c r="B7" s="10" t="inlineStr">
        <is>
          <t>Signage + badges</t>
        </is>
      </c>
      <c r="C7" s="11" t="inlineStr">
        <is>
          <t>Yes</t>
        </is>
      </c>
      <c r="D7" s="11" t="inlineStr">
        <is>
          <t>No</t>
        </is>
      </c>
      <c r="E7" s="11" t="inlineStr">
        <is>
          <t>Yes</t>
        </is>
      </c>
      <c r="F7" s="11" t="inlineStr">
        <is>
          <t>No</t>
        </is>
      </c>
      <c r="G7" s="11" t="inlineStr"/>
      <c r="H7" s="10">
        <f>IF(AND(C7="Yes",D7="Yes",E7="Yes",F7="Yes",G7&lt;&gt;""),"Yes","Not yet")</f>
        <v/>
      </c>
    </row>
    <row r="8">
      <c r="A8" s="10" t="inlineStr">
        <is>
          <t>Swag Supply Co.</t>
        </is>
      </c>
      <c r="B8" s="10" t="inlineStr">
        <is>
          <t>Branded swag</t>
        </is>
      </c>
      <c r="C8" s="11" t="inlineStr">
        <is>
          <t>Yes</t>
        </is>
      </c>
      <c r="D8" s="11" t="inlineStr">
        <is>
          <t>Yes</t>
        </is>
      </c>
      <c r="E8" s="11" t="inlineStr">
        <is>
          <t>Yes</t>
        </is>
      </c>
      <c r="F8" s="11" t="inlineStr">
        <is>
          <t>Yes</t>
        </is>
      </c>
      <c r="G8" s="11" t="inlineStr">
        <is>
          <t>PO-2602</t>
        </is>
      </c>
      <c r="H8" s="10">
        <f>IF(AND(C8="Yes",D8="Yes",E8="Yes",F8="Yes",G8&lt;&gt;""),"Yes","Not yet")</f>
        <v/>
      </c>
    </row>
  </sheetData>
  <conditionalFormatting sqref="H5:H30">
    <cfRule type="cellIs" priority="1" operator="equal" dxfId="0">
      <formula>"Not yet"</formula>
    </cfRule>
  </conditionalFormatting>
  <conditionalFormatting sqref="C5:F30">
    <cfRule type="cellIs" priority="2" operator="equal" dxfId="0">
      <formula>"No"</formula>
    </cfRule>
  </conditionalFormatting>
  <dataValidations count="1">
    <dataValidation sqref="C5:F30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6" customWidth="1" min="8" max="8"/>
    <col width="20" customWidth="1" min="9" max="9"/>
  </cols>
  <sheetData>
    <row r="1">
      <c r="A1" s="1" t="inlineStr">
        <is>
          <t>Budget and expense reconciliation (sample figures, USD)</t>
        </is>
      </c>
    </row>
    <row r="2">
      <c r="A2" s="2" t="inlineStr">
        <is>
          <t>Variance over 5% or a missing receipt gets flagged before month-end close.</t>
        </is>
      </c>
    </row>
    <row r="4" ht="30" customHeight="1">
      <c r="A4" s="6" t="inlineStr">
        <is>
          <t>Line</t>
        </is>
      </c>
      <c r="B4" s="6" t="inlineStr">
        <is>
          <t>Vendor</t>
        </is>
      </c>
      <c r="C4" s="6" t="inlineStr">
        <is>
          <t>Budget</t>
        </is>
      </c>
      <c r="D4" s="6" t="inlineStr">
        <is>
          <t>PO amount</t>
        </is>
      </c>
      <c r="E4" s="6" t="inlineStr">
        <is>
          <t>Invoiced</t>
        </is>
      </c>
      <c r="F4" s="6" t="inlineStr">
        <is>
          <t>Paid</t>
        </is>
      </c>
      <c r="G4" s="6" t="inlineStr">
        <is>
          <t>Receipt on file?</t>
        </is>
      </c>
      <c r="H4" s="6" t="inlineStr">
        <is>
          <t>Variance vs budget</t>
        </is>
      </c>
      <c r="I4" s="6" t="inlineStr">
        <is>
          <t>Flag</t>
        </is>
      </c>
    </row>
    <row r="5">
      <c r="A5" s="10" t="inlineStr">
        <is>
          <t>Audio visual</t>
        </is>
      </c>
      <c r="B5" s="10" t="inlineStr">
        <is>
          <t>Northside AV</t>
        </is>
      </c>
      <c r="C5" s="12" t="n">
        <v>18000</v>
      </c>
      <c r="D5" s="12" t="n">
        <v>18000</v>
      </c>
      <c r="E5" s="12" t="n">
        <v>18450</v>
      </c>
      <c r="F5" s="12" t="n">
        <v>18450</v>
      </c>
      <c r="G5" s="11" t="inlineStr">
        <is>
          <t>Yes</t>
        </is>
      </c>
      <c r="H5" s="13">
        <f>IFERROR(E5/C5-1,0)</f>
        <v/>
      </c>
      <c r="I5">
        <f>IF(G5="No","Missing receipt",IF(ABS(H5)&gt;0.05,"Over 5%: explain",IF(E5&gt;F5,"Balance due","OK")))</f>
        <v/>
      </c>
    </row>
    <row r="6">
      <c r="A6" s="10" t="inlineStr">
        <is>
          <t>Partner dinner</t>
        </is>
      </c>
      <c r="B6" s="10" t="inlineStr">
        <is>
          <t>Harbour Catering</t>
        </is>
      </c>
      <c r="C6" s="12" t="n">
        <v>12000</v>
      </c>
      <c r="D6" s="12" t="n">
        <v>12000</v>
      </c>
      <c r="E6" s="12" t="n">
        <v>12900</v>
      </c>
      <c r="F6" s="12" t="n">
        <v>6000</v>
      </c>
      <c r="G6" s="11" t="inlineStr">
        <is>
          <t>Yes</t>
        </is>
      </c>
      <c r="H6" s="13">
        <f>IFERROR(E6/C6-1,0)</f>
        <v/>
      </c>
      <c r="I6">
        <f>IF(G6="No","Missing receipt",IF(ABS(H6)&gt;0.05,"Over 5%: explain",IF(E6&gt;F6,"Balance due","OK")))</f>
        <v/>
      </c>
    </row>
    <row r="7">
      <c r="A7" s="10" t="inlineStr">
        <is>
          <t>Swag</t>
        </is>
      </c>
      <c r="B7" s="10" t="inlineStr">
        <is>
          <t>Swag Supply Co.</t>
        </is>
      </c>
      <c r="C7" s="12" t="n">
        <v>9000</v>
      </c>
      <c r="D7" s="12" t="n">
        <v>8600</v>
      </c>
      <c r="E7" s="12" t="n">
        <v>8600</v>
      </c>
      <c r="F7" s="12" t="n">
        <v>8600</v>
      </c>
      <c r="G7" s="11" t="inlineStr">
        <is>
          <t>Yes</t>
        </is>
      </c>
      <c r="H7" s="13">
        <f>IFERROR(E7/C7-1,0)</f>
        <v/>
      </c>
      <c r="I7">
        <f>IF(G7="No","Missing receipt",IF(ABS(H7)&gt;0.05,"Over 5%: explain",IF(E7&gt;F7,"Balance due","OK")))</f>
        <v/>
      </c>
    </row>
    <row r="8">
      <c r="A8" s="10" t="inlineStr">
        <is>
          <t>Signage + badges</t>
        </is>
      </c>
      <c r="B8" s="10" t="inlineStr">
        <is>
          <t>Print Lab</t>
        </is>
      </c>
      <c r="C8" s="12" t="n">
        <v>4000</v>
      </c>
      <c r="D8" s="12" t="n">
        <v>0</v>
      </c>
      <c r="E8" s="12" t="n">
        <v>0</v>
      </c>
      <c r="F8" s="12" t="n">
        <v>0</v>
      </c>
      <c r="G8" s="11" t="inlineStr">
        <is>
          <t>No</t>
        </is>
      </c>
      <c r="H8" s="13">
        <f>IFERROR(E8/C8-1,0)</f>
        <v/>
      </c>
      <c r="I8">
        <f>IF(G8="No","Missing receipt",IF(ABS(H8)&gt;0.05,"Over 5%: explain",IF(E8&gt;F8,"Balance due","OK")))</f>
        <v/>
      </c>
    </row>
    <row r="9">
      <c r="A9" s="10" t="inlineStr">
        <is>
          <t>Team travel</t>
        </is>
      </c>
      <c r="B9" s="10" t="inlineStr">
        <is>
          <t>Airlines + hotel</t>
        </is>
      </c>
      <c r="C9" s="12" t="n">
        <v>22000</v>
      </c>
      <c r="D9" s="12" t="n">
        <v>0</v>
      </c>
      <c r="E9" s="12" t="n">
        <v>20750</v>
      </c>
      <c r="F9" s="12" t="n">
        <v>20750</v>
      </c>
      <c r="G9" s="11" t="inlineStr">
        <is>
          <t>No</t>
        </is>
      </c>
      <c r="H9" s="13">
        <f>IFERROR(E9/C9-1,0)</f>
        <v/>
      </c>
      <c r="I9">
        <f>IF(G9="No","Missing receipt",IF(ABS(H9)&gt;0.05,"Over 5%: explain",IF(E9&gt;F9,"Balance due","OK")))</f>
        <v/>
      </c>
    </row>
    <row r="10">
      <c r="A10" s="10" t="inlineStr">
        <is>
          <t>Shipping</t>
        </is>
      </c>
      <c r="B10" s="10" t="inlineStr">
        <is>
          <t>Freight</t>
        </is>
      </c>
      <c r="C10" s="12" t="n">
        <v>3500</v>
      </c>
      <c r="D10" s="12" t="n">
        <v>3500</v>
      </c>
      <c r="E10" s="12" t="n">
        <v>3900</v>
      </c>
      <c r="F10" s="12" t="n">
        <v>3900</v>
      </c>
      <c r="G10" s="11" t="inlineStr">
        <is>
          <t>Yes</t>
        </is>
      </c>
      <c r="H10" s="13">
        <f>IFERROR(E10/C10-1,0)</f>
        <v/>
      </c>
      <c r="I10">
        <f>IF(G10="No","Missing receipt",IF(ABS(H10)&gt;0.05,"Over 5%: explain",IF(E10&gt;F10,"Balance due","OK")))</f>
        <v/>
      </c>
    </row>
    <row r="11">
      <c r="A11" s="3" t="inlineStr">
        <is>
          <t>Total</t>
        </is>
      </c>
      <c r="C11" s="14">
        <f>SUM(C5:C10)</f>
        <v/>
      </c>
      <c r="D11" s="14">
        <f>SUM(D5:D10)</f>
        <v/>
      </c>
      <c r="E11" s="14">
        <f>SUM(E5:E10)</f>
        <v/>
      </c>
      <c r="F11" s="14">
        <f>SUM(F5:F10)</f>
        <v/>
      </c>
    </row>
  </sheetData>
  <conditionalFormatting sqref="I5:I10">
    <cfRule type="expression" priority="1" dxfId="0">
      <formula>I5&lt;&gt;"OK"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8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22" customWidth="1" min="9" max="9"/>
  </cols>
  <sheetData>
    <row r="1">
      <c r="A1" s="1" t="inlineStr">
        <is>
          <t>Team travel</t>
        </is>
      </c>
    </row>
    <row r="2">
      <c r="A2" s="2" t="inlineStr">
        <is>
          <t>One row per person. Keep confirmation numbers here, never in Slack.</t>
        </is>
      </c>
    </row>
    <row r="4" ht="30" customHeight="1">
      <c r="A4" s="6" t="inlineStr">
        <is>
          <t>Name</t>
        </is>
      </c>
      <c r="B4" s="6" t="inlineStr">
        <is>
          <t>Role at event</t>
        </is>
      </c>
      <c r="C4" s="6" t="inlineStr">
        <is>
          <t>From</t>
        </is>
      </c>
      <c r="D4" s="6" t="inlineStr">
        <is>
          <t>Arrive</t>
        </is>
      </c>
      <c r="E4" s="6" t="inlineStr">
        <is>
          <t>Depart</t>
        </is>
      </c>
      <c r="F4" s="6" t="inlineStr">
        <is>
          <t>Flight booked</t>
        </is>
      </c>
      <c r="G4" s="6" t="inlineStr">
        <is>
          <t>Hotel booked</t>
        </is>
      </c>
      <c r="H4" s="6" t="inlineStr">
        <is>
          <t>Confirmation</t>
        </is>
      </c>
      <c r="I4" s="6" t="inlineStr">
        <is>
          <t>Dietary / access needs</t>
        </is>
      </c>
    </row>
    <row r="5">
      <c r="A5" s="7" t="inlineStr">
        <is>
          <t>Team member A</t>
        </is>
      </c>
      <c r="B5" s="7" t="inlineStr">
        <is>
          <t>Booth lead</t>
        </is>
      </c>
      <c r="C5" s="7" t="inlineStr">
        <is>
          <t>YYZ</t>
        </is>
      </c>
      <c r="D5" s="7" t="inlineStr">
        <is>
          <t>Oct 25</t>
        </is>
      </c>
      <c r="E5" s="7" t="inlineStr">
        <is>
          <t>Oct 28</t>
        </is>
      </c>
      <c r="F5" s="8" t="inlineStr">
        <is>
          <t>Yes</t>
        </is>
      </c>
      <c r="G5" s="8" t="inlineStr">
        <is>
          <t>Yes</t>
        </is>
      </c>
      <c r="H5" s="8" t="inlineStr">
        <is>
          <t>Sample-0001</t>
        </is>
      </c>
      <c r="I5" s="7" t="inlineStr"/>
    </row>
    <row r="6">
      <c r="A6" s="7" t="inlineStr">
        <is>
          <t>Team member B</t>
        </is>
      </c>
      <c r="B6" s="7" t="inlineStr">
        <is>
          <t>Speaker support</t>
        </is>
      </c>
      <c r="C6" s="7" t="inlineStr">
        <is>
          <t>YVR</t>
        </is>
      </c>
      <c r="D6" s="7" t="inlineStr">
        <is>
          <t>Oct 25</t>
        </is>
      </c>
      <c r="E6" s="7" t="inlineStr">
        <is>
          <t>Oct 28</t>
        </is>
      </c>
      <c r="F6" s="8" t="inlineStr">
        <is>
          <t>Yes</t>
        </is>
      </c>
      <c r="G6" s="8" t="inlineStr">
        <is>
          <t>Yes</t>
        </is>
      </c>
      <c r="H6" s="8" t="inlineStr">
        <is>
          <t>Sample-0002</t>
        </is>
      </c>
      <c r="I6" s="7" t="inlineStr">
        <is>
          <t>Vegetarian</t>
        </is>
      </c>
    </row>
    <row r="7">
      <c r="A7" s="7" t="inlineStr">
        <is>
          <t>Team member C</t>
        </is>
      </c>
      <c r="B7" s="7" t="inlineStr">
        <is>
          <t>Partnerships</t>
        </is>
      </c>
      <c r="C7" s="7" t="inlineStr">
        <is>
          <t>YYC</t>
        </is>
      </c>
      <c r="D7" s="7" t="inlineStr">
        <is>
          <t>Oct 26</t>
        </is>
      </c>
      <c r="E7" s="7" t="inlineStr">
        <is>
          <t>Oct 28</t>
        </is>
      </c>
      <c r="F7" s="8" t="inlineStr">
        <is>
          <t>Yes</t>
        </is>
      </c>
      <c r="G7" s="8" t="inlineStr">
        <is>
          <t>No</t>
        </is>
      </c>
      <c r="H7" s="8" t="inlineStr"/>
      <c r="I7" s="7" t="inlineStr"/>
    </row>
    <row r="8">
      <c r="A8" s="7" t="inlineStr">
        <is>
          <t>Team member D</t>
        </is>
      </c>
      <c r="B8" s="7" t="inlineStr">
        <is>
          <t>Volunteer lead</t>
        </is>
      </c>
      <c r="C8" s="7" t="inlineStr">
        <is>
          <t>YYZ</t>
        </is>
      </c>
      <c r="D8" s="7" t="inlineStr">
        <is>
          <t>Oct 24</t>
        </is>
      </c>
      <c r="E8" s="7" t="inlineStr">
        <is>
          <t>Oct 28</t>
        </is>
      </c>
      <c r="F8" s="8" t="inlineStr">
        <is>
          <t>No</t>
        </is>
      </c>
      <c r="G8" s="8" t="inlineStr">
        <is>
          <t>No</t>
        </is>
      </c>
      <c r="H8" s="8" t="inlineStr"/>
      <c r="I8" s="7" t="inlineStr"/>
    </row>
  </sheetData>
  <conditionalFormatting sqref="F5:G40">
    <cfRule type="cellIs" priority="1" operator="equal" dxfId="0">
      <formula>"No"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6" customWidth="1" min="3" max="3"/>
    <col width="26" customWidth="1" min="4" max="4"/>
    <col width="10" customWidth="1" min="5" max="5"/>
    <col width="16" customWidth="1" min="6" max="6"/>
    <col width="10" customWidth="1" min="7" max="7"/>
    <col width="12" customWidth="1" min="8" max="8"/>
  </cols>
  <sheetData>
    <row r="1">
      <c r="A1" s="1" t="inlineStr">
        <is>
          <t>Shipping and swag</t>
        </is>
      </c>
    </row>
    <row r="2">
      <c r="A2" s="2" t="inlineStr">
        <is>
          <t>Ship to the venue's advance warehouse inside its receiving window. Track every box.</t>
        </is>
      </c>
    </row>
    <row r="4" ht="30" customHeight="1">
      <c r="A4" s="6" t="inlineStr">
        <is>
          <t>Item</t>
        </is>
      </c>
      <c r="B4" s="6" t="inlineStr">
        <is>
          <t>Qty</t>
        </is>
      </c>
      <c r="C4" s="6" t="inlineStr">
        <is>
          <t>Ship from</t>
        </is>
      </c>
      <c r="D4" s="6" t="inlineStr">
        <is>
          <t>Ship to</t>
        </is>
      </c>
      <c r="E4" s="6" t="inlineStr">
        <is>
          <t>Carrier</t>
        </is>
      </c>
      <c r="F4" s="6" t="inlineStr">
        <is>
          <t>Tracking #</t>
        </is>
      </c>
      <c r="G4" s="6" t="inlineStr">
        <is>
          <t>Ship by</t>
        </is>
      </c>
      <c r="H4" s="6" t="inlineStr">
        <is>
          <t>Delivered?</t>
        </is>
      </c>
    </row>
    <row r="5">
      <c r="A5" s="7" t="inlineStr">
        <is>
          <t>Booth kit (3 cases)</t>
        </is>
      </c>
      <c r="B5" s="7" t="n">
        <v>3</v>
      </c>
      <c r="C5" s="7" t="inlineStr">
        <is>
          <t>Toronto office</t>
        </is>
      </c>
      <c r="D5" s="7" t="inlineStr">
        <is>
          <t>Venue advance warehouse</t>
        </is>
      </c>
      <c r="E5" s="7" t="inlineStr">
        <is>
          <t>Courier</t>
        </is>
      </c>
      <c r="F5" s="8" t="inlineStr">
        <is>
          <t>SAMPLE-TRK-01</t>
        </is>
      </c>
      <c r="G5" s="7" t="inlineStr">
        <is>
          <t>Oct 12</t>
        </is>
      </c>
      <c r="H5" s="8" t="inlineStr">
        <is>
          <t>In transit</t>
        </is>
      </c>
    </row>
    <row r="6">
      <c r="A6" s="7" t="inlineStr">
        <is>
          <t>Swag: notebooks</t>
        </is>
      </c>
      <c r="B6" s="7" t="n">
        <v>1200</v>
      </c>
      <c r="C6" s="7" t="inlineStr">
        <is>
          <t>Supplier</t>
        </is>
      </c>
      <c r="D6" s="7" t="inlineStr">
        <is>
          <t>Venue advance warehouse</t>
        </is>
      </c>
      <c r="E6" s="7" t="inlineStr">
        <is>
          <t>Freight</t>
        </is>
      </c>
      <c r="F6" s="8" t="inlineStr">
        <is>
          <t>SAMPLE-TRK-02</t>
        </is>
      </c>
      <c r="G6" s="7" t="inlineStr">
        <is>
          <t>Oct 9</t>
        </is>
      </c>
      <c r="H6" s="8" t="inlineStr">
        <is>
          <t>Delivered</t>
        </is>
      </c>
    </row>
    <row r="7">
      <c r="A7" s="7" t="inlineStr">
        <is>
          <t>Badge stock + lanyards</t>
        </is>
      </c>
      <c r="B7" s="7" t="n">
        <v>1</v>
      </c>
      <c r="C7" s="7" t="inlineStr">
        <is>
          <t>Print Lab</t>
        </is>
      </c>
      <c r="D7" s="7" t="inlineStr">
        <is>
          <t>Venue</t>
        </is>
      </c>
      <c r="E7" s="7" t="inlineStr">
        <is>
          <t>Courier</t>
        </is>
      </c>
      <c r="F7" s="8" t="inlineStr"/>
      <c r="G7" s="7" t="inlineStr">
        <is>
          <t>Oct 19</t>
        </is>
      </c>
      <c r="H7" s="8" t="inlineStr">
        <is>
          <t>Not shipped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8" customWidth="1" min="4" max="4"/>
    <col width="12" customWidth="1" min="5" max="5"/>
    <col width="8" customWidth="1" min="6" max="6"/>
    <col width="16" customWidth="1" min="7" max="7"/>
  </cols>
  <sheetData>
    <row r="1">
      <c r="A1" s="1" t="inlineStr">
        <is>
          <t>Volunteer roster</t>
        </is>
      </c>
    </row>
    <row r="2">
      <c r="A2" s="2" t="inlineStr">
        <is>
          <t>Each shift has a lead, a briefing and a backup.</t>
        </is>
      </c>
    </row>
    <row r="4" ht="30" customHeight="1">
      <c r="A4" s="6" t="inlineStr">
        <is>
          <t>Shift</t>
        </is>
      </c>
      <c r="B4" s="6" t="inlineStr">
        <is>
          <t>Station</t>
        </is>
      </c>
      <c r="C4" s="6" t="inlineStr">
        <is>
          <t>Time</t>
        </is>
      </c>
      <c r="D4" s="6" t="inlineStr">
        <is>
          <t>Volunteers needed</t>
        </is>
      </c>
      <c r="E4" s="6" t="inlineStr">
        <is>
          <t>Assigned</t>
        </is>
      </c>
      <c r="F4" s="6" t="inlineStr">
        <is>
          <t>Gap</t>
        </is>
      </c>
      <c r="G4" s="6" t="inlineStr">
        <is>
          <t>Lead</t>
        </is>
      </c>
    </row>
    <row r="5">
      <c r="A5" s="10" t="inlineStr">
        <is>
          <t>Day 1 AM</t>
        </is>
      </c>
      <c r="B5" s="10" t="inlineStr">
        <is>
          <t>Registration desk</t>
        </is>
      </c>
      <c r="C5" s="10" t="inlineStr">
        <is>
          <t>7:00-11:00</t>
        </is>
      </c>
      <c r="D5" s="10" t="n">
        <v>6</v>
      </c>
      <c r="E5" s="11" t="n">
        <v>6</v>
      </c>
      <c r="F5" s="10">
        <f>D5-E5</f>
        <v/>
      </c>
      <c r="G5" s="10" t="inlineStr"/>
    </row>
    <row r="6">
      <c r="A6" s="10" t="inlineStr">
        <is>
          <t>Day 1 AM</t>
        </is>
      </c>
      <c r="B6" s="10" t="inlineStr">
        <is>
          <t>Session room monitors</t>
        </is>
      </c>
      <c r="C6" s="10" t="inlineStr">
        <is>
          <t>8:30-12:30</t>
        </is>
      </c>
      <c r="D6" s="10" t="n">
        <v>8</v>
      </c>
      <c r="E6" s="11" t="n">
        <v>6</v>
      </c>
      <c r="F6" s="10">
        <f>D6-E6</f>
        <v/>
      </c>
      <c r="G6" s="10" t="inlineStr"/>
    </row>
    <row r="7">
      <c r="A7" s="10" t="inlineStr">
        <is>
          <t>Day 1 PM</t>
        </is>
      </c>
      <c r="B7" s="10" t="inlineStr">
        <is>
          <t>Info desk</t>
        </is>
      </c>
      <c r="C7" s="10" t="inlineStr">
        <is>
          <t>12:00-17:00</t>
        </is>
      </c>
      <c r="D7" s="10" t="n">
        <v>3</v>
      </c>
      <c r="E7" s="11" t="n">
        <v>3</v>
      </c>
      <c r="F7" s="10">
        <f>D7-E7</f>
        <v/>
      </c>
      <c r="G7" s="10" t="inlineStr"/>
    </row>
    <row r="8">
      <c r="A8" s="10" t="inlineStr">
        <is>
          <t>Day 2 AM</t>
        </is>
      </c>
      <c r="B8" s="10" t="inlineStr">
        <is>
          <t>Registration desk</t>
        </is>
      </c>
      <c r="C8" s="10" t="inlineStr">
        <is>
          <t>7:30-10:30</t>
        </is>
      </c>
      <c r="D8" s="10" t="n">
        <v>4</v>
      </c>
      <c r="E8" s="11" t="n">
        <v>2</v>
      </c>
      <c r="F8" s="10">
        <f>D8-E8</f>
        <v/>
      </c>
      <c r="G8" s="10" t="inlineStr"/>
    </row>
    <row r="9">
      <c r="A9" s="10" t="inlineStr">
        <is>
          <t>Day 2 PM</t>
        </is>
      </c>
      <c r="B9" s="10" t="inlineStr">
        <is>
          <t>Expo hall guides</t>
        </is>
      </c>
      <c r="C9" s="10" t="inlineStr">
        <is>
          <t>12:00-16:00</t>
        </is>
      </c>
      <c r="D9" s="10" t="n">
        <v>4</v>
      </c>
      <c r="E9" s="11" t="n">
        <v>4</v>
      </c>
      <c r="F9" s="10">
        <f>D9-E9</f>
        <v/>
      </c>
      <c r="G9" s="10" t="inlineStr"/>
    </row>
  </sheetData>
  <conditionalFormatting sqref="F5:F3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48" customWidth="1" min="2" max="2"/>
    <col width="2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Stakeholder comms calendar</t>
        </is>
      </c>
    </row>
    <row r="2">
      <c r="A2" s="2" t="inlineStr">
        <is>
          <t>Every email has an owner, an audience and a send date tied to the event date.</t>
        </is>
      </c>
    </row>
    <row r="4" ht="30" customHeight="1">
      <c r="A4" s="6" t="inlineStr">
        <is>
          <t>Audience</t>
        </is>
      </c>
      <c r="B4" s="6" t="inlineStr">
        <is>
          <t>Email</t>
        </is>
      </c>
      <c r="C4" s="6" t="inlineStr">
        <is>
          <t>Days before (+) / after (-)</t>
        </is>
      </c>
      <c r="D4" s="6" t="inlineStr">
        <is>
          <t>Send date</t>
        </is>
      </c>
      <c r="E4" s="6" t="inlineStr">
        <is>
          <t>Owner</t>
        </is>
      </c>
      <c r="F4" s="6" t="inlineStr">
        <is>
          <t>Status</t>
        </is>
      </c>
    </row>
    <row r="5">
      <c r="A5" s="10" t="inlineStr">
        <is>
          <t>Speakers</t>
        </is>
      </c>
      <c r="B5" s="10" t="inlineStr">
        <is>
          <t>Logistics pack: arrival, green room, AV check</t>
        </is>
      </c>
      <c r="C5" s="11" t="n">
        <v>14</v>
      </c>
      <c r="D5" s="15">
        <f>'Logistics'!$C$3-C5</f>
        <v/>
      </c>
      <c r="E5" s="10" t="inlineStr">
        <is>
          <t>Coordinator</t>
        </is>
      </c>
      <c r="F5" s="11" t="inlineStr">
        <is>
          <t>Not started</t>
        </is>
      </c>
    </row>
    <row r="6">
      <c r="A6" s="10" t="inlineStr">
        <is>
          <t>Sponsors</t>
        </is>
      </c>
      <c r="B6" s="10" t="inlineStr">
        <is>
          <t>Booth move-in times and asset deadline</t>
        </is>
      </c>
      <c r="C6" s="11" t="n">
        <v>14</v>
      </c>
      <c r="D6" s="15">
        <f>'Logistics'!$C$3-C6</f>
        <v/>
      </c>
      <c r="E6" s="10" t="inlineStr">
        <is>
          <t>Coordinator</t>
        </is>
      </c>
      <c r="F6" s="11" t="inlineStr">
        <is>
          <t>Not started</t>
        </is>
      </c>
    </row>
    <row r="7">
      <c r="A7" s="10" t="inlineStr">
        <is>
          <t>Attendees</t>
        </is>
      </c>
      <c r="B7" s="10" t="inlineStr">
        <is>
          <t>Know before you go</t>
        </is>
      </c>
      <c r="C7" s="11" t="n">
        <v>7</v>
      </c>
      <c r="D7" s="15">
        <f>'Logistics'!$C$3-C7</f>
        <v/>
      </c>
      <c r="E7" s="10" t="inlineStr">
        <is>
          <t>Coordinator</t>
        </is>
      </c>
      <c r="F7" s="11" t="inlineStr">
        <is>
          <t>Not started</t>
        </is>
      </c>
    </row>
    <row r="8">
      <c r="A8" s="10" t="inlineStr">
        <is>
          <t>Volunteers</t>
        </is>
      </c>
      <c r="B8" s="10" t="inlineStr">
        <is>
          <t>Shift confirmation + briefing deck</t>
        </is>
      </c>
      <c r="C8" s="11" t="n">
        <v>7</v>
      </c>
      <c r="D8" s="15">
        <f>'Logistics'!$C$3-C8</f>
        <v/>
      </c>
      <c r="E8" s="10" t="inlineStr">
        <is>
          <t>Coordinator</t>
        </is>
      </c>
      <c r="F8" s="11" t="inlineStr">
        <is>
          <t>Not started</t>
        </is>
      </c>
    </row>
    <row r="9">
      <c r="A9" s="10" t="inlineStr">
        <is>
          <t>Speakers</t>
        </is>
      </c>
      <c r="B9" s="10" t="inlineStr">
        <is>
          <t>Final reminder + day-of contact</t>
        </is>
      </c>
      <c r="C9" s="11" t="n">
        <v>2</v>
      </c>
      <c r="D9" s="15">
        <f>'Logistics'!$C$3-C9</f>
        <v/>
      </c>
      <c r="E9" s="10" t="inlineStr">
        <is>
          <t>Coordinator</t>
        </is>
      </c>
      <c r="F9" s="11" t="inlineStr">
        <is>
          <t>Not started</t>
        </is>
      </c>
    </row>
    <row r="10">
      <c r="A10" s="10" t="inlineStr">
        <is>
          <t>Attendees</t>
        </is>
      </c>
      <c r="B10" s="10" t="inlineStr">
        <is>
          <t>Day 1 morning: schedule + app</t>
        </is>
      </c>
      <c r="C10" s="11" t="n">
        <v>0</v>
      </c>
      <c r="D10" s="15">
        <f>'Logistics'!$C$3-C10</f>
        <v/>
      </c>
      <c r="E10" s="10" t="inlineStr">
        <is>
          <t>Coordinator</t>
        </is>
      </c>
      <c r="F10" s="11" t="inlineStr">
        <is>
          <t>Not started</t>
        </is>
      </c>
    </row>
    <row r="11">
      <c r="A11" s="10" t="inlineStr">
        <is>
          <t>Attendees</t>
        </is>
      </c>
      <c r="B11" s="10" t="inlineStr">
        <is>
          <t>Thank you + recordings</t>
        </is>
      </c>
      <c r="C11" s="11" t="n">
        <v>-2</v>
      </c>
      <c r="D11" s="15">
        <f>'Logistics'!$C$3-C11</f>
        <v/>
      </c>
      <c r="E11" s="10" t="inlineStr">
        <is>
          <t>Coordinator</t>
        </is>
      </c>
      <c r="F11" s="11" t="inlineStr">
        <is>
          <t>Not started</t>
        </is>
      </c>
    </row>
    <row r="12">
      <c r="A12" s="10" t="inlineStr">
        <is>
          <t>Sponsors</t>
        </is>
      </c>
      <c r="B12" s="10" t="inlineStr">
        <is>
          <t>Leads + results recap</t>
        </is>
      </c>
      <c r="C12" s="11" t="n">
        <v>-5</v>
      </c>
      <c r="D12" s="15">
        <f>'Logistics'!$C$3-C12</f>
        <v/>
      </c>
      <c r="E12" s="10" t="inlineStr">
        <is>
          <t>Coordinator</t>
        </is>
      </c>
      <c r="F12" s="11" t="inlineStr">
        <is>
          <t>Not started</t>
        </is>
      </c>
    </row>
    <row r="13">
      <c r="A13" s="10" t="inlineStr">
        <is>
          <t>Volunteers</t>
        </is>
      </c>
      <c r="B13" s="10" t="inlineStr">
        <is>
          <t>Thank you + feedback form</t>
        </is>
      </c>
      <c r="C13" s="11" t="n">
        <v>-3</v>
      </c>
      <c r="D13" s="15">
        <f>'Logistics'!$C$3-C13</f>
        <v/>
      </c>
      <c r="E13" s="10" t="inlineStr">
        <is>
          <t>Coordinator</t>
        </is>
      </c>
      <c r="F13" s="11" t="inlineStr">
        <is>
          <t>Not started</t>
        </is>
      </c>
    </row>
  </sheetData>
  <dataValidations count="1">
    <dataValidation sqref="F5:F40" showDropDown="0" showInputMessage="0" showErrorMessage="0" allowBlank="0" type="list">
      <formula1>"Not started,In progress,Waiting,Done,Blocked"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62" customWidth="1" min="2" max="2"/>
    <col width="18" customWidth="1" min="3" max="3"/>
    <col width="8" customWidth="1" min="4" max="4"/>
  </cols>
  <sheetData>
    <row r="1">
      <c r="A1" s="1" t="inlineStr">
        <is>
          <t>Partner onboarding · first 30 days</t>
        </is>
      </c>
    </row>
    <row r="2">
      <c r="A2" s="2" t="inlineStr">
        <is>
          <t>Same steps for every new partner, so nothing depends on memory.</t>
        </is>
      </c>
    </row>
    <row r="4" ht="30" customHeight="1">
      <c r="A4" s="6" t="inlineStr">
        <is>
          <t>Day</t>
        </is>
      </c>
      <c r="B4" s="6" t="inlineStr">
        <is>
          <t>Step</t>
        </is>
      </c>
      <c r="C4" s="6" t="inlineStr">
        <is>
          <t>Owner</t>
        </is>
      </c>
      <c r="D4" s="6" t="inlineStr">
        <is>
          <t>Done?</t>
        </is>
      </c>
    </row>
    <row r="5">
      <c r="A5" s="7" t="n">
        <v>1</v>
      </c>
      <c r="B5" s="7" t="inlineStr">
        <is>
          <t>Welcome email + kickoff call booked</t>
        </is>
      </c>
      <c r="C5" s="7" t="inlineStr">
        <is>
          <t>Coordinator</t>
        </is>
      </c>
      <c r="D5" s="8" t="inlineStr">
        <is>
          <t>No</t>
        </is>
      </c>
    </row>
    <row r="6">
      <c r="A6" s="7" t="n">
        <v>2</v>
      </c>
      <c r="B6" s="7" t="inlineStr">
        <is>
          <t>Partner record created, contacts and logo collected</t>
        </is>
      </c>
      <c r="C6" s="7" t="inlineStr">
        <is>
          <t>Coordinator</t>
        </is>
      </c>
      <c r="D6" s="8" t="inlineStr">
        <is>
          <t>No</t>
        </is>
      </c>
    </row>
    <row r="7">
      <c r="A7" s="7" t="n">
        <v>5</v>
      </c>
      <c r="B7" s="7" t="inlineStr">
        <is>
          <t>Kickoff call: goals, audience, first co-marketing idea</t>
        </is>
      </c>
      <c r="C7" s="7" t="inlineStr">
        <is>
          <t>Partner manager</t>
        </is>
      </c>
      <c r="D7" s="8" t="inlineStr">
        <is>
          <t>No</t>
        </is>
      </c>
    </row>
    <row r="8">
      <c r="A8" s="7" t="n">
        <v>7</v>
      </c>
      <c r="B8" s="7" t="inlineStr">
        <is>
          <t>Partner kit sent: brand rules, messaging, co-branding do's and don'ts</t>
        </is>
      </c>
      <c r="C8" s="7" t="inlineStr">
        <is>
          <t>Coordinator</t>
        </is>
      </c>
      <c r="D8" s="8" t="inlineStr">
        <is>
          <t>No</t>
        </is>
      </c>
    </row>
    <row r="9">
      <c r="A9" s="7" t="n">
        <v>14</v>
      </c>
      <c r="B9" s="7" t="inlineStr">
        <is>
          <t>Listing or landing page live</t>
        </is>
      </c>
      <c r="C9" s="7" t="inlineStr">
        <is>
          <t>Partner manager</t>
        </is>
      </c>
      <c r="D9" s="8" t="inlineStr">
        <is>
          <t>No</t>
        </is>
      </c>
    </row>
    <row r="10">
      <c r="A10" s="7" t="n">
        <v>21</v>
      </c>
      <c r="B10" s="7" t="inlineStr">
        <is>
          <t>First joint activity scheduled (webinar, post or event)</t>
        </is>
      </c>
      <c r="C10" s="7" t="inlineStr">
        <is>
          <t>Partner manager</t>
        </is>
      </c>
      <c r="D10" s="8" t="inlineStr">
        <is>
          <t>No</t>
        </is>
      </c>
    </row>
    <row r="11">
      <c r="A11" s="7" t="n">
        <v>30</v>
      </c>
      <c r="B11" s="7" t="inlineStr">
        <is>
          <t>30-day check-in + first report</t>
        </is>
      </c>
      <c r="C11" s="7" t="inlineStr">
        <is>
          <t>Coordinator</t>
        </is>
      </c>
      <c r="D11" s="8" t="inlineStr">
        <is>
          <t>No</t>
        </is>
      </c>
    </row>
  </sheetData>
  <conditionalFormatting sqref="D5:D40">
    <cfRule type="cellIs" priority="1" operator="equal" dxfId="1">
      <formula>"Yes"</formula>
    </cfRule>
  </conditionalFormatting>
  <dataValidations count="1">
    <dataValidation sqref="D5:D40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34" customWidth="1" min="3" max="3"/>
    <col width="24" customWidth="1" min="4" max="4"/>
    <col width="30" customWidth="1" min="5" max="5"/>
    <col width="16" customWidth="1" min="6" max="6"/>
    <col width="34" customWidth="1" min="7" max="7"/>
  </cols>
  <sheetData>
    <row r="1">
      <c r="A1" s="1" t="inlineStr">
        <is>
          <t>Weekly status and risk log</t>
        </is>
      </c>
    </row>
    <row r="2">
      <c r="A2" s="2" t="inlineStr">
        <is>
          <t>Green = on track, Amber = at risk, Red = blocked. Every risk has an owner and a next step.</t>
        </is>
      </c>
    </row>
    <row r="4" ht="30" customHeight="1">
      <c r="A4" s="6" t="inlineStr">
        <is>
          <t>Workstream</t>
        </is>
      </c>
      <c r="B4" s="6" t="inlineStr">
        <is>
          <t>Status</t>
        </is>
      </c>
      <c r="C4" s="6" t="inlineStr">
        <is>
          <t>This week</t>
        </is>
      </c>
      <c r="D4" s="6" t="inlineStr">
        <is>
          <t>Next week</t>
        </is>
      </c>
      <c r="E4" s="6" t="inlineStr">
        <is>
          <t>Risk</t>
        </is>
      </c>
      <c r="F4" s="6" t="inlineStr">
        <is>
          <t>Owner</t>
        </is>
      </c>
      <c r="G4" s="6" t="inlineStr">
        <is>
          <t>Next step</t>
        </is>
      </c>
    </row>
    <row r="5">
      <c r="A5" s="7" t="inlineStr">
        <is>
          <t>Logistics</t>
        </is>
      </c>
      <c r="B5" s="8" t="inlineStr">
        <is>
          <t>Green</t>
        </is>
      </c>
      <c r="C5" s="7" t="inlineStr">
        <is>
          <t>Booth kit shipped, travel booked</t>
        </is>
      </c>
      <c r="D5" s="7" t="inlineStr">
        <is>
          <t>Signage to print</t>
        </is>
      </c>
      <c r="E5" s="7" t="inlineStr"/>
      <c r="F5" s="7" t="inlineStr">
        <is>
          <t>Coordinator</t>
        </is>
      </c>
      <c r="G5" s="7" t="inlineStr"/>
    </row>
    <row r="6">
      <c r="A6" s="7" t="inlineStr">
        <is>
          <t>Speakers</t>
        </is>
      </c>
      <c r="B6" s="8" t="inlineStr">
        <is>
          <t>Amber</t>
        </is>
      </c>
      <c r="C6" s="7" t="inlineStr">
        <is>
          <t>32 of 40 slide decks in</t>
        </is>
      </c>
      <c r="D6" s="7" t="inlineStr">
        <is>
          <t>Chase final 8</t>
        </is>
      </c>
      <c r="E6" s="7" t="inlineStr">
        <is>
          <t>Late slides delay AV prep</t>
        </is>
      </c>
      <c r="F6" s="7" t="inlineStr">
        <is>
          <t>Program manager</t>
        </is>
      </c>
      <c r="G6" s="7" t="inlineStr">
        <is>
          <t>Personal follow-up today, deadline Friday</t>
        </is>
      </c>
    </row>
    <row r="7">
      <c r="A7" s="7" t="inlineStr">
        <is>
          <t>Sponsors</t>
        </is>
      </c>
      <c r="B7" s="8" t="inlineStr">
        <is>
          <t>Amber</t>
        </is>
      </c>
      <c r="C7" s="7" t="inlineStr">
        <is>
          <t>2 sponsors missing logo files</t>
        </is>
      </c>
      <c r="D7" s="7" t="inlineStr">
        <is>
          <t>Assets locked</t>
        </is>
      </c>
      <c r="E7" s="7" t="inlineStr">
        <is>
          <t>Signage reprint cost</t>
        </is>
      </c>
      <c r="F7" s="7" t="inlineStr">
        <is>
          <t>Partnerships</t>
        </is>
      </c>
      <c r="G7" s="7" t="inlineStr">
        <is>
          <t>Call both sponsors</t>
        </is>
      </c>
    </row>
    <row r="8">
      <c r="A8" s="7" t="inlineStr">
        <is>
          <t>Volunteers</t>
        </is>
      </c>
      <c r="B8" s="8" t="inlineStr">
        <is>
          <t>Red</t>
        </is>
      </c>
      <c r="C8" s="7" t="inlineStr">
        <is>
          <t>4 shifts short</t>
        </is>
      </c>
      <c r="D8" s="7" t="inlineStr">
        <is>
          <t>Fill gaps, send briefing</t>
        </is>
      </c>
      <c r="E8" s="7" t="inlineStr">
        <is>
          <t>Registration line too long on Day 2</t>
        </is>
      </c>
      <c r="F8" s="7" t="inlineStr">
        <is>
          <t>Coordinator</t>
        </is>
      </c>
      <c r="G8" s="7" t="inlineStr">
        <is>
          <t>Ask the team on Slack + backup list</t>
        </is>
      </c>
    </row>
  </sheetData>
  <conditionalFormatting sqref="B5:B40">
    <cfRule type="cellIs" priority="1" operator="equal" dxfId="2">
      <formula>"Green"</formula>
    </cfRule>
    <cfRule type="cellIs" priority="2" operator="equal" dxfId="3">
      <formula>"Amber"</formula>
    </cfRule>
    <cfRule type="cellIs" priority="3" operator="equal" dxfId="4">
      <formula>"Red"</formula>
    </cfRule>
  </conditionalFormatting>
  <dataValidations count="1">
    <dataValidation sqref="B5:B40" showDropDown="0" showInputMessage="0" showErrorMessage="0" allowBlank="0" type="list">
      <formula1>"Green,Amber,Red"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16" customWidth="1" min="3" max="3"/>
    <col width="30" customWidth="1" min="4" max="4"/>
    <col width="32" customWidth="1" min="5" max="5"/>
    <col width="10" customWidth="1" min="6" max="6"/>
    <col width="10" customWidth="1" min="7" max="7"/>
    <col width="14" customWidth="1" min="8" max="8"/>
    <col width="10" customWidth="1" min="9" max="9"/>
  </cols>
  <sheetData>
    <row r="1">
      <c r="A1" s="1" t="inlineStr">
        <is>
          <t>AI workflow log</t>
        </is>
      </c>
    </row>
    <row r="2">
      <c r="A2" s="2" t="inlineStr">
        <is>
          <t>Every AI-assisted process: what it does, who checks it, and the time it saves (estimate, measured after 4 weeks).</t>
        </is>
      </c>
    </row>
    <row r="4" ht="30" customHeight="1">
      <c r="A4" s="6" t="inlineStr">
        <is>
          <t>Workflow</t>
        </is>
      </c>
      <c r="B4" s="6" t="inlineStr">
        <is>
          <t>Tools</t>
        </is>
      </c>
      <c r="C4" s="6" t="inlineStr">
        <is>
          <t>Input</t>
        </is>
      </c>
      <c r="D4" s="6" t="inlineStr">
        <is>
          <t>AI step</t>
        </is>
      </c>
      <c r="E4" s="6" t="inlineStr">
        <is>
          <t>Human review</t>
        </is>
      </c>
      <c r="F4" s="6" t="inlineStr">
        <is>
          <t>Minutes before</t>
        </is>
      </c>
      <c r="G4" s="6" t="inlineStr">
        <is>
          <t>Minutes after</t>
        </is>
      </c>
      <c r="H4" s="6" t="inlineStr">
        <is>
          <t>Saved per week (est.)</t>
        </is>
      </c>
      <c r="I4" s="6" t="inlineStr">
        <is>
          <t>Status</t>
        </is>
      </c>
    </row>
    <row r="5">
      <c r="A5" s="7" t="inlineStr">
        <is>
          <t>Receipts to reconciliation</t>
        </is>
      </c>
      <c r="B5" s="7" t="inlineStr">
        <is>
          <t>Google Forms, Sheets, Gemini</t>
        </is>
      </c>
      <c r="C5" s="7" t="inlineStr">
        <is>
          <t>Receipt photos</t>
        </is>
      </c>
      <c r="D5" s="7" t="inlineStr">
        <is>
          <t>Read vendor, date, amount, category</t>
        </is>
      </c>
      <c r="E5" s="7" t="inlineStr">
        <is>
          <t>Coordinator checks every line vs card statement</t>
        </is>
      </c>
      <c r="F5" s="8" t="n">
        <v>90</v>
      </c>
      <c r="G5" s="8" t="n">
        <v>25</v>
      </c>
      <c r="H5" s="10">
        <f>F5-G5</f>
        <v/>
      </c>
      <c r="I5" s="10" t="inlineStr">
        <is>
          <t>Testing</t>
        </is>
      </c>
    </row>
    <row r="6">
      <c r="A6" s="7" t="inlineStr">
        <is>
          <t>Speaker bios to session pages</t>
        </is>
      </c>
      <c r="B6" s="7" t="inlineStr">
        <is>
          <t>Google Forms, Sheets, Gemini</t>
        </is>
      </c>
      <c r="C6" s="7" t="inlineStr">
        <is>
          <t>Speaker form</t>
        </is>
      </c>
      <c r="D6" s="7" t="inlineStr">
        <is>
          <t>Trim bios to 60 words, match style guide</t>
        </is>
      </c>
      <c r="E6" s="7" t="inlineStr">
        <is>
          <t>Program manager approves each bio</t>
        </is>
      </c>
      <c r="F6" s="8" t="n">
        <v>120</v>
      </c>
      <c r="G6" s="8" t="n">
        <v>30</v>
      </c>
      <c r="H6" s="10">
        <f>F6-G6</f>
        <v/>
      </c>
      <c r="I6" s="10" t="inlineStr">
        <is>
          <t>Testing</t>
        </is>
      </c>
    </row>
    <row r="7">
      <c r="A7" s="7" t="inlineStr">
        <is>
          <t>Shared inbox triage</t>
        </is>
      </c>
      <c r="B7" s="7" t="inlineStr">
        <is>
          <t>Gmail, Slack, Gemini</t>
        </is>
      </c>
      <c r="C7" s="7" t="inlineStr">
        <is>
          <t>New emails</t>
        </is>
      </c>
      <c r="D7" s="7" t="inlineStr">
        <is>
          <t>Label, priority, draft reply</t>
        </is>
      </c>
      <c r="E7" s="7" t="inlineStr">
        <is>
          <t>Coordinator edits and sends</t>
        </is>
      </c>
      <c r="F7" s="8" t="n">
        <v>150</v>
      </c>
      <c r="G7" s="8" t="n">
        <v>60</v>
      </c>
      <c r="H7" s="10">
        <f>F7-G7</f>
        <v/>
      </c>
      <c r="I7" s="10" t="inlineStr">
        <is>
          <t>Testing</t>
        </is>
      </c>
    </row>
    <row r="8">
      <c r="A8" s="7" t="inlineStr">
        <is>
          <t>Post-event report</t>
        </is>
      </c>
      <c r="B8" s="7" t="inlineStr">
        <is>
          <t>Sheets, Slides, Gemini</t>
        </is>
      </c>
      <c r="C8" s="7" t="inlineStr">
        <is>
          <t>Survey + lead data</t>
        </is>
      </c>
      <c r="D8" s="7" t="inlineStr">
        <is>
          <t>Summarize results and themes</t>
        </is>
      </c>
      <c r="E8" s="7" t="inlineStr">
        <is>
          <t>Coordinator checks numbers vs source</t>
        </is>
      </c>
      <c r="F8" s="8" t="n">
        <v>240</v>
      </c>
      <c r="G8" s="8" t="n">
        <v>90</v>
      </c>
      <c r="H8" s="10">
        <f>F8-G8</f>
        <v/>
      </c>
      <c r="I8" s="10" t="inlineStr">
        <is>
          <t>Testing</t>
        </is>
      </c>
    </row>
    <row r="10">
      <c r="G10" s="3" t="inlineStr">
        <is>
          <t>Total</t>
        </is>
      </c>
      <c r="H10" s="3">
        <f>SUM(H5:H8)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2026-10-14T12:18:36Z</dcterms:created>
  <dcterms:modified xmlns:dcterms="http://purl.org/dc/terms/" xmlns:xsi="http://www.w3.org/2001/XMLSchema-instance" xsi:type="dcterms:W3CDTF">2026-10-14T12:18:36Z</dcterms:modified>
</cp:coreProperties>
</file>